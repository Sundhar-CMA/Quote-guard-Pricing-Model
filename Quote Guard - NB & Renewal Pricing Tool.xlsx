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zellis-my.sharepoint.com/personal/sundhar_kilingarumana_zellis_com/Documents/Desktop/New folder/Projects/QuoteGuard/"/>
    </mc:Choice>
  </mc:AlternateContent>
  <xr:revisionPtr revIDLastSave="440" documentId="8_{98EFE667-7161-AA4D-B2C1-F23EF5D6531D}" xr6:coauthVersionLast="47" xr6:coauthVersionMax="47" xr10:uidLastSave="{CF4367A5-D16D-4356-A009-1333B932C893}"/>
  <bookViews>
    <workbookView xWindow="-108" yWindow="-108" windowWidth="16608" windowHeight="8712" tabRatio="876" firstSheet="2" activeTab="6" xr2:uid="{00000000-000D-0000-FFFF-FFFF00000000}"/>
  </bookViews>
  <sheets>
    <sheet name="Lookup_Tables" sheetId="7" state="hidden" r:id="rId1"/>
    <sheet name="Deal_Log" sheetId="6" state="hidden" r:id="rId2"/>
    <sheet name="Deal_Input" sheetId="1" r:id="rId3"/>
    <sheet name="Deal_Overview" sheetId="2" r:id="rId4"/>
    <sheet name="NB_Pricing_Calculation" sheetId="8" state="hidden" r:id="rId5"/>
    <sheet name="Renewal_Input" sheetId="3" r:id="rId6"/>
    <sheet name="Renewal_Overview" sheetId="4" r:id="rId7"/>
    <sheet name="Renewal_Calculation" sheetId="9" state="hidden" r:id="rId8"/>
    <sheet name="Competitive_Benchmark" sheetId="5" r:id="rId9"/>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70" i="4" l="1"/>
  <c r="B68" i="2"/>
  <c r="B4" i="9"/>
  <c r="B66" i="9"/>
  <c r="B67" i="9" s="1"/>
  <c r="B69" i="9" s="1"/>
  <c r="B34" i="9"/>
  <c r="B40" i="9" s="1"/>
  <c r="B36" i="9"/>
  <c r="B38" i="9" s="1"/>
  <c r="B8" i="3"/>
  <c r="B9" i="9"/>
  <c r="B44" i="9"/>
  <c r="B45" i="9"/>
  <c r="B46" i="9"/>
  <c r="B47" i="9"/>
  <c r="B54" i="9"/>
  <c r="B53" i="9"/>
  <c r="B52" i="9"/>
  <c r="B51" i="9"/>
  <c r="B50" i="9"/>
  <c r="B49" i="9"/>
  <c r="B48" i="9"/>
  <c r="B5" i="9"/>
  <c r="B6" i="9"/>
  <c r="C15" i="9"/>
  <c r="B15" i="9"/>
  <c r="E15" i="9"/>
  <c r="C16" i="9"/>
  <c r="B16" i="9"/>
  <c r="B10" i="9"/>
  <c r="D16" i="9"/>
  <c r="C17" i="9"/>
  <c r="E17" i="9" s="1"/>
  <c r="B17" i="9"/>
  <c r="C18" i="9"/>
  <c r="B18" i="9"/>
  <c r="E18" i="9"/>
  <c r="C28" i="9"/>
  <c r="B28" i="9"/>
  <c r="E28" i="9"/>
  <c r="C27" i="9"/>
  <c r="B27" i="9"/>
  <c r="E27" i="9"/>
  <c r="C26" i="9"/>
  <c r="B26" i="9"/>
  <c r="E26" i="9" s="1"/>
  <c r="C25" i="9"/>
  <c r="E25" i="9" s="1"/>
  <c r="B25" i="9"/>
  <c r="C24" i="9"/>
  <c r="B24" i="9"/>
  <c r="E24" i="9" s="1"/>
  <c r="C23" i="9"/>
  <c r="B23" i="9"/>
  <c r="E23" i="9"/>
  <c r="C22" i="9"/>
  <c r="E22" i="9" s="1"/>
  <c r="B22" i="9"/>
  <c r="B35" i="9"/>
  <c r="B37" i="9"/>
  <c r="B58" i="9"/>
  <c r="B58" i="4" s="1"/>
  <c r="D26" i="9"/>
  <c r="D25" i="9"/>
  <c r="D24" i="9"/>
  <c r="D23" i="9"/>
  <c r="D22" i="9"/>
  <c r="D18" i="9"/>
  <c r="D17" i="9"/>
  <c r="D15" i="9"/>
  <c r="B7" i="1"/>
  <c r="B5" i="8"/>
  <c r="B36" i="8" s="1"/>
  <c r="B35" i="8"/>
  <c r="B38" i="8"/>
  <c r="B46" i="8"/>
  <c r="B45" i="8"/>
  <c r="B43" i="8"/>
  <c r="B42" i="8"/>
  <c r="B40" i="8"/>
  <c r="B39" i="8"/>
  <c r="B54" i="8"/>
  <c r="B55" i="8" s="1"/>
  <c r="B57" i="8" s="1"/>
  <c r="B6" i="8"/>
  <c r="D10" i="8" s="1"/>
  <c r="B10" i="8"/>
  <c r="C10" i="8"/>
  <c r="B11" i="8"/>
  <c r="D11" i="8" s="1"/>
  <c r="C11" i="8"/>
  <c r="B12" i="8"/>
  <c r="D12" i="8"/>
  <c r="B13" i="8"/>
  <c r="D13" i="8"/>
  <c r="B17" i="8"/>
  <c r="D17" i="8" s="1"/>
  <c r="B18" i="8"/>
  <c r="C18" i="8"/>
  <c r="B19" i="8"/>
  <c r="D19" i="8" s="1"/>
  <c r="B23" i="8"/>
  <c r="D23" i="8" s="1"/>
  <c r="B22" i="8"/>
  <c r="D22" i="8"/>
  <c r="B21" i="8"/>
  <c r="B20" i="8"/>
  <c r="D20" i="8" s="1"/>
  <c r="B28" i="8"/>
  <c r="B30" i="8"/>
  <c r="C23" i="8"/>
  <c r="C22" i="8"/>
  <c r="C19" i="8"/>
  <c r="C17" i="8"/>
  <c r="C13" i="8"/>
  <c r="C12" i="8"/>
  <c r="B4" i="8"/>
  <c r="N22" i="6"/>
  <c r="P22" i="6"/>
  <c r="R22" i="6"/>
  <c r="S22" i="6"/>
  <c r="Q22" i="6"/>
  <c r="N21" i="6"/>
  <c r="P21" i="6"/>
  <c r="R21" i="6"/>
  <c r="S21" i="6"/>
  <c r="Q21" i="6"/>
  <c r="N20" i="6"/>
  <c r="P20" i="6"/>
  <c r="R20" i="6"/>
  <c r="S20" i="6"/>
  <c r="Q20" i="6"/>
  <c r="N19" i="6"/>
  <c r="P19" i="6"/>
  <c r="R19" i="6"/>
  <c r="S19" i="6"/>
  <c r="Q19" i="6"/>
  <c r="N18" i="6"/>
  <c r="P18" i="6"/>
  <c r="R18" i="6"/>
  <c r="S18" i="6"/>
  <c r="Q18" i="6"/>
  <c r="N17" i="6"/>
  <c r="P17" i="6"/>
  <c r="R17" i="6"/>
  <c r="S17" i="6"/>
  <c r="Q17" i="6"/>
  <c r="N16" i="6"/>
  <c r="P16" i="6"/>
  <c r="R16" i="6"/>
  <c r="S16" i="6"/>
  <c r="Q16" i="6"/>
  <c r="N15" i="6"/>
  <c r="P15" i="6"/>
  <c r="R15" i="6"/>
  <c r="S15" i="6"/>
  <c r="Q15" i="6"/>
  <c r="N14" i="6"/>
  <c r="P14" i="6"/>
  <c r="R14" i="6"/>
  <c r="S14" i="6"/>
  <c r="Q14" i="6"/>
  <c r="N13" i="6"/>
  <c r="P13" i="6"/>
  <c r="R13" i="6"/>
  <c r="S13" i="6"/>
  <c r="Q13" i="6"/>
  <c r="N12" i="6"/>
  <c r="P12" i="6"/>
  <c r="R12" i="6"/>
  <c r="S12" i="6"/>
  <c r="Q12" i="6"/>
  <c r="N11" i="6"/>
  <c r="P11" i="6"/>
  <c r="R11" i="6"/>
  <c r="S11" i="6"/>
  <c r="Q11" i="6"/>
  <c r="N10" i="6"/>
  <c r="P10" i="6"/>
  <c r="R10" i="6"/>
  <c r="S10" i="6"/>
  <c r="Q10" i="6"/>
  <c r="N9" i="6"/>
  <c r="P9" i="6"/>
  <c r="R9" i="6"/>
  <c r="S9" i="6"/>
  <c r="Q9" i="6"/>
  <c r="N8" i="6"/>
  <c r="P8" i="6"/>
  <c r="R8" i="6"/>
  <c r="S8" i="6"/>
  <c r="Q8" i="6"/>
  <c r="N7" i="6"/>
  <c r="P7" i="6"/>
  <c r="R7" i="6"/>
  <c r="S7" i="6"/>
  <c r="Q7" i="6"/>
  <c r="N6" i="6"/>
  <c r="P6" i="6"/>
  <c r="R6" i="6"/>
  <c r="S6" i="6"/>
  <c r="Q6" i="6"/>
  <c r="N5" i="6"/>
  <c r="P5" i="6"/>
  <c r="R5" i="6"/>
  <c r="S5" i="6"/>
  <c r="Q5" i="6"/>
  <c r="B71" i="4"/>
  <c r="B69" i="4"/>
  <c r="B64" i="4"/>
  <c r="A17" i="4"/>
  <c r="B14" i="4"/>
  <c r="B13" i="4"/>
  <c r="B12" i="4"/>
  <c r="B11" i="4"/>
  <c r="B10" i="4"/>
  <c r="B9" i="4"/>
  <c r="B8" i="4"/>
  <c r="B7" i="4"/>
  <c r="B6" i="4"/>
  <c r="B70" i="2"/>
  <c r="B69" i="2"/>
  <c r="B59" i="2"/>
  <c r="B14" i="2"/>
  <c r="B13" i="2"/>
  <c r="B12" i="2"/>
  <c r="B11" i="2"/>
  <c r="B10" i="2"/>
  <c r="B9" i="2"/>
  <c r="B8" i="2"/>
  <c r="B7" i="2"/>
  <c r="B6" i="2"/>
  <c r="B15" i="1"/>
  <c r="B8" i="1"/>
  <c r="B39" i="9" l="1"/>
  <c r="B26" i="4"/>
  <c r="B43" i="4"/>
  <c r="B56" i="9"/>
  <c r="B11" i="9"/>
  <c r="E16" i="9" s="1"/>
  <c r="E30" i="9" s="1"/>
  <c r="B31" i="9" s="1"/>
  <c r="B61" i="9" s="1"/>
  <c r="B62" i="9" s="1"/>
  <c r="B63" i="9" s="1"/>
  <c r="B40" i="4" s="1"/>
  <c r="D27" i="9"/>
  <c r="D28" i="9"/>
  <c r="D21" i="8"/>
  <c r="B27" i="2" s="1"/>
  <c r="B48" i="8"/>
  <c r="B60" i="8" s="1"/>
  <c r="B53" i="2" s="1"/>
  <c r="D18" i="8"/>
  <c r="C20" i="8"/>
  <c r="C21" i="8"/>
  <c r="B44" i="8"/>
  <c r="B49" i="2" s="1"/>
  <c r="B37" i="8"/>
  <c r="B41" i="8"/>
  <c r="B22" i="2"/>
  <c r="D25" i="8"/>
  <c r="B29" i="8" s="1"/>
  <c r="B31" i="8" s="1"/>
  <c r="B15" i="5" s="1"/>
  <c r="B21" i="2"/>
  <c r="B45" i="2"/>
  <c r="B24" i="4"/>
  <c r="B46" i="2"/>
  <c r="B49" i="4"/>
  <c r="B50" i="4"/>
  <c r="B40" i="2"/>
  <c r="B72" i="9"/>
  <c r="B25" i="2"/>
  <c r="B41" i="2"/>
  <c r="B28" i="4"/>
  <c r="B52" i="4"/>
  <c r="B50" i="2"/>
  <c r="B19" i="4"/>
  <c r="B45" i="4"/>
  <c r="B19" i="2"/>
  <c r="B43" i="2"/>
  <c r="B51" i="2"/>
  <c r="B22" i="4"/>
  <c r="B30" i="4"/>
  <c r="B46" i="4"/>
  <c r="B54" i="4"/>
  <c r="B73" i="9"/>
  <c r="B48" i="4"/>
  <c r="B25" i="4"/>
  <c r="B23" i="2"/>
  <c r="B47" i="2"/>
  <c r="B24" i="2"/>
  <c r="B48" i="2"/>
  <c r="B27" i="4"/>
  <c r="B51" i="4"/>
  <c r="B18" i="2"/>
  <c r="B26" i="2"/>
  <c r="B42" i="2"/>
  <c r="B29" i="4"/>
  <c r="B53" i="4"/>
  <c r="B20" i="2"/>
  <c r="B28" i="2"/>
  <c r="B44" i="2"/>
  <c r="B31" i="4"/>
  <c r="B47" i="4"/>
  <c r="B55" i="4"/>
  <c r="B75" i="9"/>
  <c r="B18" i="4" s="1"/>
  <c r="B29" i="2"/>
  <c r="B32" i="4"/>
  <c r="B71" i="9" l="1"/>
  <c r="B34" i="4" s="1"/>
  <c r="B37" i="4" s="1"/>
  <c r="B38" i="4" s="1"/>
  <c r="B39" i="4" s="1"/>
  <c r="B23" i="4"/>
  <c r="B59" i="8"/>
  <c r="B33" i="2" s="1"/>
  <c r="B35" i="2" s="1"/>
  <c r="B62" i="2" s="1"/>
  <c r="B17" i="5"/>
  <c r="B18" i="5" s="1"/>
  <c r="B35" i="4"/>
  <c r="B74" i="9"/>
  <c r="B57" i="4" s="1"/>
  <c r="B44" i="4"/>
  <c r="B19" i="5" l="1"/>
  <c r="B64" i="2"/>
  <c r="B60" i="2"/>
  <c r="B36" i="2"/>
  <c r="B37" i="2" s="1"/>
  <c r="B65" i="4"/>
  <c r="B63" i="2"/>
</calcChain>
</file>

<file path=xl/sharedStrings.xml><?xml version="1.0" encoding="utf-8"?>
<sst xmlns="http://schemas.openxmlformats.org/spreadsheetml/2006/main" count="813" uniqueCount="394">
  <si>
    <t>DEAL INPUT — New Business (blue cells = editable)</t>
  </si>
  <si>
    <t>Deal Sizing</t>
  </si>
  <si>
    <t>Deal Name</t>
  </si>
  <si>
    <t>Acme Financial Corp</t>
  </si>
  <si>
    <t>Licensed User Count</t>
  </si>
  <si>
    <t>Number of Data Sources / Repositories</t>
  </si>
  <si>
    <t>Assigned Size Band (auto)</t>
  </si>
  <si>
    <t>Boundary Review Flag (auto)</t>
  </si>
  <si>
    <t>Deal Terms</t>
  </si>
  <si>
    <t>Deployment Type</t>
  </si>
  <si>
    <t>Cloud</t>
  </si>
  <si>
    <t>Contract Term</t>
  </si>
  <si>
    <t>2yr</t>
  </si>
  <si>
    <t>Platform Tier</t>
  </si>
  <si>
    <t>Data Security Advanced</t>
  </si>
  <si>
    <t>Industry</t>
  </si>
  <si>
    <t>BFSI (Banking, Financial Services, Insurance)</t>
  </si>
  <si>
    <t>Recommended Add-Ons (auto, informational only)</t>
  </si>
  <si>
    <t>Add-Ons Selected (Yes/No)</t>
  </si>
  <si>
    <t>MDDR (Managed Detection &amp; Response)</t>
  </si>
  <si>
    <t>Yes</t>
  </si>
  <si>
    <t>Identity Resolution</t>
  </si>
  <si>
    <t>Identity Posture</t>
  </si>
  <si>
    <t>No</t>
  </si>
  <si>
    <t>AI Security (Atlas)</t>
  </si>
  <si>
    <t>Additional Modules Selected (Yes/No)</t>
  </si>
  <si>
    <t>Database Activity Monitoring</t>
  </si>
  <si>
    <t>Data-Centric UEBA</t>
  </si>
  <si>
    <t>DLP (Data Loss Prevention)</t>
  </si>
  <si>
    <t>ITDR</t>
  </si>
  <si>
    <t>Interceptor Email Security</t>
  </si>
  <si>
    <t>Interceptor Browser Security</t>
  </si>
  <si>
    <t>Email Data Protection</t>
  </si>
  <si>
    <t>Legend: Blue cells = editable inputs. Black cells = automatic formulas — do not overwrite. Concierge and Athena AI are always included and are not entered here.</t>
  </si>
  <si>
    <t>Account Manager</t>
  </si>
  <si>
    <t>Account Manager Name (free text)</t>
  </si>
  <si>
    <t>Priya Sharma</t>
  </si>
  <si>
    <t>Team / Market Segment (free text)</t>
  </si>
  <si>
    <t>Enterprise — BFSI &amp; Healthcare</t>
  </si>
  <si>
    <t>DEAL OVERVIEW — New Business (Account Manager View)</t>
  </si>
  <si>
    <t>Currency</t>
  </si>
  <si>
    <t>USD</t>
  </si>
  <si>
    <t>Deal Snapshot</t>
  </si>
  <si>
    <t>Account Manager Name</t>
  </si>
  <si>
    <t>Team / Market Segment</t>
  </si>
  <si>
    <t>Licensed Users</t>
  </si>
  <si>
    <t>Assigned Size Band</t>
  </si>
  <si>
    <t>RECURRING (ARR)</t>
  </si>
  <si>
    <t>Line Item</t>
  </si>
  <si>
    <t>Amount</t>
  </si>
  <si>
    <t>Core Platform</t>
  </si>
  <si>
    <t>Varonis Concierge</t>
  </si>
  <si>
    <t>Included</t>
  </si>
  <si>
    <t>Athena AI</t>
  </si>
  <si>
    <t>List ACV (Year 1)</t>
  </si>
  <si>
    <t>Discount % (live input)</t>
  </si>
  <si>
    <t>Net ACV</t>
  </si>
  <si>
    <t>PUPY (Per User Per Year)</t>
  </si>
  <si>
    <t>PUPM (Per User Per Month)</t>
  </si>
  <si>
    <t>ONE-TIME (Implementation)</t>
  </si>
  <si>
    <t>Total Implementation Fee</t>
  </si>
  <si>
    <t>INDICATIVE ESTIMATE ONLY — Deal Desk/Solutions team to confirm final implementation scope and cost before quoting.</t>
  </si>
  <si>
    <t>CONTRACT VALUE &amp; METRICS</t>
  </si>
  <si>
    <t>Contract Term (years)</t>
  </si>
  <si>
    <t>TCV (Total Contract Value)</t>
  </si>
  <si>
    <t>Effective Discount %</t>
  </si>
  <si>
    <t>Implementation as % of Year-1 ACV</t>
  </si>
  <si>
    <t>Competitor Delta (USD, vs. selected competitor)</t>
  </si>
  <si>
    <t>Position</t>
  </si>
  <si>
    <t>Status</t>
  </si>
  <si>
    <t>Pricing Analyst</t>
  </si>
  <si>
    <t>Manager Approved</t>
  </si>
  <si>
    <t>Final Quote Sent</t>
  </si>
  <si>
    <t>RENEWAL INPUT — Existing Customer Parameters (blue cells)</t>
  </si>
  <si>
    <t>Existing Customer / Prior Contract</t>
  </si>
  <si>
    <t>Customer Name</t>
  </si>
  <si>
    <t>Prior Contract Value (last term's Net ACV, USD)</t>
  </si>
  <si>
    <t>Prior Platform Tier</t>
  </si>
  <si>
    <t>Prior Deployment Type</t>
  </si>
  <si>
    <t>On-Prem</t>
  </si>
  <si>
    <t>Licensed User Count (current)</t>
  </si>
  <si>
    <t>Months to Renewal Date</t>
  </si>
  <si>
    <t>Prior Add-Ons / Additional Modules / Interceptor Status</t>
  </si>
  <si>
    <t>MDDR (Managed Detection &amp; Response) (prior status)</t>
  </si>
  <si>
    <t>Identity Resolution (prior status)</t>
  </si>
  <si>
    <t>Identity Posture (prior status)</t>
  </si>
  <si>
    <t>AI Security (Atlas) (prior status)</t>
  </si>
  <si>
    <t>Database Activity Monitoring (prior status)</t>
  </si>
  <si>
    <t>Data-Centric UEBA (prior status)</t>
  </si>
  <si>
    <t>DLP (Data Loss Prevention) (prior status)</t>
  </si>
  <si>
    <t>ITDR (prior status)</t>
  </si>
  <si>
    <t>Interceptor Email Security (prior status)</t>
  </si>
  <si>
    <t>Interceptor Browser Security (prior status)</t>
  </si>
  <si>
    <t>Email Data Protection (prior status)</t>
  </si>
  <si>
    <t>Renewal Requests</t>
  </si>
  <si>
    <t>Renewal Term</t>
  </si>
  <si>
    <t>MDDR (Managed Detection &amp; Response) — Requested Action</t>
  </si>
  <si>
    <t>No Change</t>
  </si>
  <si>
    <t>Identity Resolution — Requested Action</t>
  </si>
  <si>
    <t>Add</t>
  </si>
  <si>
    <t>Identity Posture — Requested Action</t>
  </si>
  <si>
    <t>AI Security (Atlas) — Requested Action</t>
  </si>
  <si>
    <t>Database Activity Monitoring — Requested Action</t>
  </si>
  <si>
    <t>Data-Centric UEBA — Requested Action</t>
  </si>
  <si>
    <t>DLP (Data Loss Prevention) — Requested Action</t>
  </si>
  <si>
    <t>ITDR — Requested Action</t>
  </si>
  <si>
    <t>Interceptor Email Security — Requested Action</t>
  </si>
  <si>
    <t>Interceptor Browser Security — Requested Action</t>
  </si>
  <si>
    <t>Email Data Protection — Requested Action</t>
  </si>
  <si>
    <t>Deployment Change Requested?</t>
  </si>
  <si>
    <t>On-Prem to Cloud</t>
  </si>
  <si>
    <t>Legend: Blue cells = editable inputs. Pre-filled with an example renewal for Acme Financial Corp, requesting to add Identity Security and migrate On-Prem to Cloud — deliberately chosen to demonstrate both escalation flags in Renewal_Calculation.</t>
  </si>
  <si>
    <t>RENEWAL OVERVIEW — Existing Customer (Account Manager View)</t>
  </si>
  <si>
    <t>Renewal Snapshot</t>
  </si>
  <si>
    <t>New Deployment Type</t>
  </si>
  <si>
    <t>RECURRING (Renewal ARR)</t>
  </si>
  <si>
    <t>Prior Contract Value</t>
  </si>
  <si>
    <t>Base Renewal Value (post-uplift, before module changes)</t>
  </si>
  <si>
    <t>Module Changes This Renewal (line items)</t>
  </si>
  <si>
    <t>Growth / (Shrinkage) vs. Prior</t>
  </si>
  <si>
    <t>Renewal Shrinkage Flag</t>
  </si>
  <si>
    <t>Deployment Change Requested</t>
  </si>
  <si>
    <t>Core Platform (Migration)</t>
  </si>
  <si>
    <t>Total Implementation Fee (All Components)</t>
  </si>
  <si>
    <t>Migration Escalation Flag</t>
  </si>
  <si>
    <t>INDICATIVE ESTIMATE ONLY — Deal Desk/Solutions team to confirm final renewal and migration scope and cost before quoting.</t>
  </si>
  <si>
    <t>CONTRACT VALUE METRICS</t>
  </si>
  <si>
    <t>Renewal Term (years)</t>
  </si>
  <si>
    <t>Renewal TCV (Final ACV x Term + Total Implementation)</t>
  </si>
  <si>
    <t>Approval Workflow Status (read-only — set in Renewal Calculation)</t>
  </si>
  <si>
    <t>COMPETITIVE BENCHMARK — Manually Researched, Isolated From Pricing Engine</t>
  </si>
  <si>
    <t>Competitor pricing is modeled as a positioning multiplier against Varonis' own List ACV for THIS deal, rather than a fixed dollar quote. A fixed quote would go stale the moment modules are added/removed on a deal; a multiplier tied to Varonis' own evolving scope keeps the comparison meaningfully like-for-like as the quote changes. Multipliers are manually researched/estimated (USD basis) — nothing here feeds back into the pricing engine except the single Delta cell (row 18), which flows one-way into Deal_Overview.</t>
  </si>
  <si>
    <t>Competitor</t>
  </si>
  <si>
    <t>Positioning Multiplier (vs. Varonis List ACV)</t>
  </si>
  <si>
    <t>Pricing Model</t>
  </si>
  <si>
    <t>Notes</t>
  </si>
  <si>
    <t>Microsoft Purview</t>
  </si>
  <si>
    <t>Bundled into M365 licensing</t>
  </si>
  <si>
    <t>Lower multiplier reflects M365 bundling advantage (cheaper attach) but narrower breadth — no equivalent to Interceptor, ITDR, or Email Data Protection as standalone modules</t>
  </si>
  <si>
    <t>Rubrik</t>
  </si>
  <si>
    <t>Modular, backup-security adjacent</t>
  </si>
  <si>
    <t>Comparable modularity; strong in ransomware recovery, weaker on identity/email security breadth</t>
  </si>
  <si>
    <t>BigID</t>
  </si>
  <si>
    <t>Modular, discovery/classification-led</t>
  </si>
  <si>
    <t>Comparable DSPM-first positioning; less mature on MDDR-equivalent managed detection</t>
  </si>
  <si>
    <t>Netskope</t>
  </si>
  <si>
    <t>Bundled SSE/SASE suite</t>
  </si>
  <si>
    <t>Broader network security play; premium multiplier reflects wider platform scope beyond pure data security</t>
  </si>
  <si>
    <t>[ASSUMPTION] Multipliers are illustrative estimates of relative pricing position, not verified competitor quotes — replace with real researched ratios. Kept in USD regardless of Deal_Overview currency selection, for consistent internal benchmarking. Re-review multipliers whenever Additional Modules are added to the Varonis lineup, since a competitor may or may not have an equivalent capability.</t>
  </si>
  <si>
    <t>Delta vs. Varonis (This Deal)</t>
  </si>
  <si>
    <t>Varonis List ACV (this deal, USD, full scope)</t>
  </si>
  <si>
    <t>Selected Competitor for Comparison</t>
  </si>
  <si>
    <t>Competitor Equivalent Quote (USD)</t>
  </si>
  <si>
    <t>Delta ($) — Varonis minus Competitor</t>
  </si>
  <si>
    <t>Delta (%) — Varonis vs. Competitor</t>
  </si>
  <si>
    <t>DEAL LOG — Historical Quotes (for reporting / Power BI)</t>
  </si>
  <si>
    <t>Synthetic illustrative deals for demonstration. In real use, copy each completed quote's key figures here (paste as values) after Approval Workflow reaches 'Approved'.</t>
  </si>
  <si>
    <t>Deal ID</t>
  </si>
  <si>
    <t>Deal Type</t>
  </si>
  <si>
    <t>Quote Date</t>
  </si>
  <si>
    <t>Band</t>
  </si>
  <si>
    <t>Deployment</t>
  </si>
  <si>
    <t>Term</t>
  </si>
  <si>
    <t>List ACV (USD)</t>
  </si>
  <si>
    <t>Discount %</t>
  </si>
  <si>
    <t>Net ACV (USD)</t>
  </si>
  <si>
    <t>PUPY (USD)</t>
  </si>
  <si>
    <t>Implementation Fee (USD)</t>
  </si>
  <si>
    <t>TCV (USD)</t>
  </si>
  <si>
    <t>Shrinkage Flag</t>
  </si>
  <si>
    <t>Migration Flag</t>
  </si>
  <si>
    <t>Approval Status</t>
  </si>
  <si>
    <t>D-1000</t>
  </si>
  <si>
    <t>Rahul Rao</t>
  </si>
  <si>
    <t>Renewal</t>
  </si>
  <si>
    <t>2026-01-01</t>
  </si>
  <si>
    <t>Small</t>
  </si>
  <si>
    <t>1yr</t>
  </si>
  <si>
    <t>Data Security Essentials</t>
  </si>
  <si>
    <t>Healthcare</t>
  </si>
  <si>
    <t>Renewal Shrinkage — Escalate</t>
  </si>
  <si>
    <t>Deployment Migration — Escalate</t>
  </si>
  <si>
    <t>Needs Review</t>
  </si>
  <si>
    <t>D-1001</t>
  </si>
  <si>
    <t>Bluewave Health Systems</t>
  </si>
  <si>
    <t>Arjun Verma</t>
  </si>
  <si>
    <t>Mid-Market — General / SMB</t>
  </si>
  <si>
    <t>New Business</t>
  </si>
  <si>
    <t>2026-02-04</t>
  </si>
  <si>
    <t>Manufacturing / Industrial</t>
  </si>
  <si>
    <t>OK</t>
  </si>
  <si>
    <t>D-1002</t>
  </si>
  <si>
    <t>Cascade Manufacturing</t>
  </si>
  <si>
    <t>Divya Mehta</t>
  </si>
  <si>
    <t>2026-03-07</t>
  </si>
  <si>
    <t>Enterprise</t>
  </si>
  <si>
    <t>3yr</t>
  </si>
  <si>
    <t>Public Sector / Government</t>
  </si>
  <si>
    <t>Approved</t>
  </si>
  <si>
    <t>D-1003</t>
  </si>
  <si>
    <t>Delta Public Services</t>
  </si>
  <si>
    <t>Arjun Mehta</t>
  </si>
  <si>
    <t>Strategic Accounts (Global)</t>
  </si>
  <si>
    <t>2026-04-10</t>
  </si>
  <si>
    <t>Strategic</t>
  </si>
  <si>
    <t>GBP</t>
  </si>
  <si>
    <t>D-1004</t>
  </si>
  <si>
    <t>Everline Technologies</t>
  </si>
  <si>
    <t>Sara Mehta</t>
  </si>
  <si>
    <t>Enterprise — Public Sector &amp; Manufacturing</t>
  </si>
  <si>
    <t>2026-05-13</t>
  </si>
  <si>
    <t>Other</t>
  </si>
  <si>
    <t>D-1005</t>
  </si>
  <si>
    <t>Fortress Insurance Group</t>
  </si>
  <si>
    <t>2026-06-16</t>
  </si>
  <si>
    <t>D-1006</t>
  </si>
  <si>
    <t>Granite Bank &amp; Trust</t>
  </si>
  <si>
    <t>Karan Nair</t>
  </si>
  <si>
    <t>2026-07-19</t>
  </si>
  <si>
    <t>Mid</t>
  </si>
  <si>
    <t>Technology / SaaS</t>
  </si>
  <si>
    <t>D-1007</t>
  </si>
  <si>
    <t>Harbor Logistics</t>
  </si>
  <si>
    <t>Divya Verma</t>
  </si>
  <si>
    <t>Commercial — Emerging Accounts</t>
  </si>
  <si>
    <t>2026-01-22</t>
  </si>
  <si>
    <t>D-1008</t>
  </si>
  <si>
    <t>Ironclad Pharma</t>
  </si>
  <si>
    <t>Sara Rao</t>
  </si>
  <si>
    <t>2026-02-25</t>
  </si>
  <si>
    <t>D-1009</t>
  </si>
  <si>
    <t>Juniper SaaS Co</t>
  </si>
  <si>
    <t>Ananya Rao</t>
  </si>
  <si>
    <t>2026-03-01</t>
  </si>
  <si>
    <t>D-1010</t>
  </si>
  <si>
    <t>Kestrel Energy</t>
  </si>
  <si>
    <t>Priya Mehta</t>
  </si>
  <si>
    <t>2026-04-04</t>
  </si>
  <si>
    <t>D-1011</t>
  </si>
  <si>
    <t>Lumina Retail Group</t>
  </si>
  <si>
    <t>Sara Iyer</t>
  </si>
  <si>
    <t>2026-05-07</t>
  </si>
  <si>
    <t>D-1012</t>
  </si>
  <si>
    <t>Meridian Telecom</t>
  </si>
  <si>
    <t>Priya Nair</t>
  </si>
  <si>
    <t>2026-06-10</t>
  </si>
  <si>
    <t>D-1013</t>
  </si>
  <si>
    <t>Nova Biotech</t>
  </si>
  <si>
    <t>Rahul Gupta</t>
  </si>
  <si>
    <t>2026-07-13</t>
  </si>
  <si>
    <t>D-1014</t>
  </si>
  <si>
    <t>Orion Manufacturing</t>
  </si>
  <si>
    <t>Karan Verma</t>
  </si>
  <si>
    <t>2026-01-16</t>
  </si>
  <si>
    <t>EUR</t>
  </si>
  <si>
    <t>D-1015</t>
  </si>
  <si>
    <t>Pinecrest Healthcare</t>
  </si>
  <si>
    <t>Priya Verma</t>
  </si>
  <si>
    <t>2026-02-19</t>
  </si>
  <si>
    <t>D-1016</t>
  </si>
  <si>
    <t>Quantum Data Systems</t>
  </si>
  <si>
    <t>Rahul Verma</t>
  </si>
  <si>
    <t>Mid-Market — Technology</t>
  </si>
  <si>
    <t>2026-03-22</t>
  </si>
  <si>
    <t>D-1017</t>
  </si>
  <si>
    <t>Redstone Financial</t>
  </si>
  <si>
    <t>2026-04-25</t>
  </si>
  <si>
    <t>[ASSUMPTION] Account Manager names, team assignments, dates, and flags are randomly generated for demonstration. List ACV/PUPY/Implementation/TCV are computed live via the same Lookup_Tables pricing engine as Pricing_Calculation — change any Lookup_Tables price and every row here recalculates too. Discount %, deal type, and flags are illustrative fixed values, not formula-driven.</t>
  </si>
  <si>
    <t>A.1  Customer Size Bands — by Licensed User Count</t>
  </si>
  <si>
    <t>Band Name</t>
  </si>
  <si>
    <t>Min. Licensed Users</t>
  </si>
  <si>
    <t>Max. Licensed Users</t>
  </si>
  <si>
    <t>No limit</t>
  </si>
  <si>
    <t>Boundary Review Threshold</t>
  </si>
  <si>
    <t>A.2  Core Platform Base Price ($) — by Tier &amp; Size Band</t>
  </si>
  <si>
    <t>Tier</t>
  </si>
  <si>
    <t>[ASSUMPTION] Core Platform prices are illustrative, anchored so Mid/Advanced + Cloud premium (~$57.6K) aligns with Varonis' publicly reported average contract value of ~$58K.</t>
  </si>
  <si>
    <t>A.3  Add-On Uplift % (applied to Core Platform Base Price)</t>
  </si>
  <si>
    <t>Add-On</t>
  </si>
  <si>
    <t>Uplift %</t>
  </si>
  <si>
    <t>[ASSUMPTION] MDDR, Identity Security, and AI Security (Atlas) price as a % uplift on Core Platform base — they extend the platform rather than standing alone. Identity Resolution and Identity Posture are modeled separately (rather than one combined 'Identity Security' line) to match Varonis' own site navigation, which lists them as distinct capabilities.</t>
  </si>
  <si>
    <t>A.4  Additional Modules ($) — Standalone, by Size Band</t>
  </si>
  <si>
    <t>Module</t>
  </si>
  <si>
    <t>[ASSUMPTION] These are modeled as standalone selectable modules (flat price by band), reflecting the Varonis platform's individually-listed capabilities. Interceptor is split into Email Security and Browser Security (separate nav items on varonis.com) rather than one combined product, and Email Data Protection is modeled as a distinct module from Interceptor Email Security (real-time threat detection vs. data-loss-prevention/classification for email content).</t>
  </si>
  <si>
    <t>[SCOPE NOTE] Varonis' site also lists 'Solutions' (Insider Risk Management, Ransomware Prevention, Compliance Management, Cloud Data Security, Data Lifecycle Automation, Dev Cycle Data Security) and industry/vertical pages (Finance, Healthcare, Manufacturing, SLED, US Federal). These are use-case bundles and marketing pages built from the modules already priced above, not separately billable line items — pricing them again here would double-count revenue.</t>
  </si>
  <si>
    <t>A.5  Deployment &amp; Contract Term Adjustments</t>
  </si>
  <si>
    <t>Adjustment</t>
  </si>
  <si>
    <t>Factor</t>
  </si>
  <si>
    <t>Cloud Deployment Multiplier</t>
  </si>
  <si>
    <t>On-Prem Deployment Multiplier</t>
  </si>
  <si>
    <t>1-Year Term Factor</t>
  </si>
  <si>
    <t>2-Year Term Factor</t>
  </si>
  <si>
    <t>3-Year Term Factor</t>
  </si>
  <si>
    <t>[ASSUMPTION] Cloud premium (+20%) and multi-year term discounts (-3%/-5%) reflect common enterprise SaaS practice; not disclosed Varonis figures.</t>
  </si>
  <si>
    <t>A.6  Implementation Fee ($, One-Time) — T-Shirt Sized, Per Component</t>
  </si>
  <si>
    <t>Component</t>
  </si>
  <si>
    <t>S</t>
  </si>
  <si>
    <t>M</t>
  </si>
  <si>
    <t>L</t>
  </si>
  <si>
    <t>XL</t>
  </si>
  <si>
    <t>Core Platform — On-Prem</t>
  </si>
  <si>
    <t>Core Platform — Cloud</t>
  </si>
  <si>
    <t>T-Shirt Size Mapping</t>
  </si>
  <si>
    <t>maps to Small</t>
  </si>
  <si>
    <t>maps to Mid</t>
  </si>
  <si>
    <t>maps to Enterprise</t>
  </si>
  <si>
    <t>maps to Strategic</t>
  </si>
  <si>
    <t>[ASSUMPTION] Core Platform anchored to public estimates of $5K-$50K depending on org size/complexity. Add-on and module implementation costs set proportionally lower, reflecting lighter incremental setup effort per component.</t>
  </si>
  <si>
    <t>INDICATIVE ESTIMATE ONLY — Deal Desk/Solutions team to confirm final implementation scope and cost before quoting. This caption must also appear wherever implementation totals are shown downstream.</t>
  </si>
  <si>
    <t>Recommended Add-Ons</t>
  </si>
  <si>
    <t>Identity Security, MDDR</t>
  </si>
  <si>
    <t>MDDR</t>
  </si>
  <si>
    <t>None flagged by default</t>
  </si>
  <si>
    <t>This table only drives an informational note in Deal_Input — never touches a price cell directly, avoiding the appearance of arbitrary/discriminatory pricing.</t>
  </si>
  <si>
    <t>A.8  Renewal Assumptions</t>
  </si>
  <si>
    <t>Assumption</t>
  </si>
  <si>
    <t>Value</t>
  </si>
  <si>
    <t>Standard Renewal Uplift %</t>
  </si>
  <si>
    <t>[ASSUMPTION] 7% mid-point of the commonly cited 5-10% enterprise SaaS renewal uplift range — not a disclosed Varonis figure.</t>
  </si>
  <si>
    <t>A.9  Currency &amp; FX Rates (Reference Default — override live in calculation sheets)</t>
  </si>
  <si>
    <t>Default FX Rate (per 1 USD)</t>
  </si>
  <si>
    <t>[ASSUMPTION] Reference rates as of early Aug 2026 (GBP ≈0.75, EUR ≈0.87 per USD, rounded from market mid-rates). These are defaults only — the pricing team can manually override the effective rate per deal in Pricing_Calculation / Renewal_Calculation to reflect current business guidance.</t>
  </si>
  <si>
    <t>PRICING CALCULATION — New Business Engine (Pricing Team Only — Hidden/Protected)</t>
  </si>
  <si>
    <t>Core Platform Pricing</t>
  </si>
  <si>
    <t>Selected Tier</t>
  </si>
  <si>
    <t>Core Platform Base Price</t>
  </si>
  <si>
    <t>Add-On Line Items (% uplift on Core Platform Base)</t>
  </si>
  <si>
    <t>Selected?</t>
  </si>
  <si>
    <t>Additional Modules Line Items (flat price by band)</t>
  </si>
  <si>
    <t>Unit Price</t>
  </si>
  <si>
    <t>Platform Subtotal (Core + Add-Ons + Additional Modules)</t>
  </si>
  <si>
    <t>Deployment &amp; Term Adjustment</t>
  </si>
  <si>
    <t>Cloud Multiplier Applied</t>
  </si>
  <si>
    <t>Subtotal After Cloud Premium</t>
  </si>
  <si>
    <t>Term Adjustment Factor</t>
  </si>
  <si>
    <t>TOTAL LIST ACV (Recurring, USD)</t>
  </si>
  <si>
    <t>Implementation Fee (One-Time, USD, Not Multiplied by Term)</t>
  </si>
  <si>
    <t>T-Shirt column matched using the same band position as Core Platform pricing.</t>
  </si>
  <si>
    <t>Core Platform Implementation</t>
  </si>
  <si>
    <t>MDDR (Managed Detection &amp; Response) Implementation</t>
  </si>
  <si>
    <t>Identity Resolution Implementation</t>
  </si>
  <si>
    <t>Identity Posture Implementation</t>
  </si>
  <si>
    <t>AI Security (Atlas) Implementation</t>
  </si>
  <si>
    <t>Database Activity Monitoring Implementation</t>
  </si>
  <si>
    <t>Data-Centric UEBA Implementation</t>
  </si>
  <si>
    <t>DLP (Data Loss Prevention) Implementation</t>
  </si>
  <si>
    <t>ITDR Implementation</t>
  </si>
  <si>
    <t>Interceptor Email Security Implementation</t>
  </si>
  <si>
    <t>Interceptor Browser Security Implementation</t>
  </si>
  <si>
    <t>Email Data Protection Implementation</t>
  </si>
  <si>
    <t>TOTAL IMPLEMENTATION FEE (USD)</t>
  </si>
  <si>
    <t>Currency &amp; FX (Pricing Team Control)</t>
  </si>
  <si>
    <t>Selected Currency (from Deal_Overview)</t>
  </si>
  <si>
    <t>Default FX Rate (per 1 USD, from Lookup_Tables)</t>
  </si>
  <si>
    <t>Manual FX Rate Override (leave blank to use default)</t>
  </si>
  <si>
    <t>Effective FX Rate (used for conversion)</t>
  </si>
  <si>
    <t>TOTAL LIST ACV (Converted)</t>
  </si>
  <si>
    <t>TOTAL IMPLEMENTATION FEE (Converted)</t>
  </si>
  <si>
    <t>Approval Workflow (Pricing Team Only)</t>
  </si>
  <si>
    <t>RENEWAL CALCULATION — Uplift, Add/Remove, Migration (Pricing Team Only — Hidden/Protected)</t>
  </si>
  <si>
    <t>Base Renewal Value</t>
  </si>
  <si>
    <t>Renewal Uplift %</t>
  </si>
  <si>
    <t>Reference: Current Core Platform Price</t>
  </si>
  <si>
    <t>Core Platform List Price (reference)</t>
  </si>
  <si>
    <t>Add-On Change Adjustments (% uplift-based)</t>
  </si>
  <si>
    <t>Prior Status</t>
  </si>
  <si>
    <t>Requested Action</t>
  </si>
  <si>
    <t>Additional Modules Change Adjustments (flat price-based)</t>
  </si>
  <si>
    <t>Total Add/Remove Adjustment</t>
  </si>
  <si>
    <t>Net Renewal ACV (pre-migration)</t>
  </si>
  <si>
    <t>Deployment Migration</t>
  </si>
  <si>
    <t>New Deployment Type (derived)</t>
  </si>
  <si>
    <t>Old Deployment Multiplier</t>
  </si>
  <si>
    <t>New Deployment Multiplier</t>
  </si>
  <si>
    <t>Migration Recurring Adjustment</t>
  </si>
  <si>
    <t>Migration Implementation Fee (USD)</t>
  </si>
  <si>
    <t>Newly Added Module Implementation Fees (USD)</t>
  </si>
  <si>
    <t>Only fires for items transitioning No -&gt; Add this renewal; unchanged/removed items carry no new implementation cost.</t>
  </si>
  <si>
    <t>Total Newly Added Module Implementation (USD)</t>
  </si>
  <si>
    <t>Final Renewal Summary</t>
  </si>
  <si>
    <t>Final Net Renewal ACV (incl. migration effect, USD)</t>
  </si>
  <si>
    <t>Growth / (Shrinkage) vs. Prior Contract</t>
  </si>
  <si>
    <t>Selected Currency (from Renewal_Overview)</t>
  </si>
  <si>
    <t>Effective FX Rate</t>
  </si>
  <si>
    <t>Final Net Renewal ACV (Converted)</t>
  </si>
  <si>
    <t>Migration Implementation Fee (Converted)</t>
  </si>
  <si>
    <t>Total Newly Added Module Implementation (Converted)</t>
  </si>
  <si>
    <t>TOTAL Implementation Fee, All Components (Converted)</t>
  </si>
  <si>
    <t>Prior Contract Value (Converted)</t>
  </si>
  <si>
    <t>LOOKUP TABLES</t>
  </si>
  <si>
    <t>A.7  Industry Reference — Recommended Add-Ons</t>
  </si>
  <si>
    <t xml:space="preserve">Approval Workflow Status </t>
  </si>
  <si>
    <t>Renewal ACV</t>
  </si>
  <si>
    <t>Net Renewal ACV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</si>
</sst>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0.0%"/>
    <numFmt numFmtId="166" formatCode="0.0000"/>
  </numFmts>
  <fonts count="20" x14ac:knownFonts="1">
    <font>
      <sz val="11"/>
      <color theme="1"/>
      <name val="Calibri"/>
      <family val="2"/>
      <charset val="1"/>
    </font>
    <font>
      <b/>
      <sz val="13"/>
      <color rgb="FFFFFFFF"/>
      <name val="Arial"/>
      <family val="2"/>
    </font>
    <font>
      <b/>
      <sz val="11"/>
      <color rgb="FFFFFFFF"/>
      <name val="Arial"/>
      <family val="2"/>
    </font>
    <font>
      <sz val="10"/>
      <name val="Arial"/>
      <family val="2"/>
    </font>
    <font>
      <sz val="10"/>
      <color rgb="FF0000FF"/>
      <name val="Arial"/>
      <family val="2"/>
    </font>
    <font>
      <sz val="10"/>
      <color rgb="FF000000"/>
      <name val="Arial"/>
      <family val="2"/>
    </font>
    <font>
      <b/>
      <sz val="10"/>
      <color rgb="FFC00000"/>
      <name val="Arial"/>
      <family val="2"/>
    </font>
    <font>
      <i/>
      <sz val="9"/>
      <color rgb="FF595959"/>
      <name val="Arial"/>
      <family val="2"/>
    </font>
    <font>
      <sz val="10"/>
      <color rgb="FF008000"/>
      <name val="Arial"/>
      <family val="2"/>
    </font>
    <font>
      <b/>
      <sz val="10"/>
      <color rgb="FFFFFFFF"/>
      <name val="Arial"/>
      <family val="2"/>
    </font>
    <font>
      <b/>
      <sz val="10"/>
      <color rgb="FF375623"/>
      <name val="Arial"/>
      <family val="2"/>
    </font>
    <font>
      <b/>
      <sz val="11"/>
      <name val="Arial"/>
      <family val="2"/>
    </font>
    <font>
      <b/>
      <sz val="12"/>
      <name val="Arial"/>
      <family val="2"/>
    </font>
    <font>
      <i/>
      <sz val="9"/>
      <color rgb="FFC00000"/>
      <name val="Arial"/>
      <family val="2"/>
    </font>
    <font>
      <b/>
      <i/>
      <sz val="10"/>
      <name val="Arial"/>
      <family val="2"/>
    </font>
    <font>
      <i/>
      <sz val="9"/>
      <color rgb="FF7F6000"/>
      <name val="Arial"/>
      <family val="2"/>
    </font>
    <font>
      <i/>
      <sz val="9"/>
      <name val="Arial"/>
      <family val="2"/>
    </font>
    <font>
      <b/>
      <sz val="11"/>
      <name val="Arial"/>
      <family val="2"/>
    </font>
    <font>
      <sz val="10"/>
      <name val="Arial"/>
      <family val="2"/>
    </font>
    <font>
      <sz val="10"/>
      <color rgb="FF0000FF"/>
      <name val="Arial"/>
      <family val="2"/>
    </font>
  </fonts>
  <fills count="11">
    <fill>
      <patternFill patternType="none"/>
    </fill>
    <fill>
      <patternFill patternType="gray125"/>
    </fill>
    <fill>
      <patternFill patternType="solid">
        <fgColor rgb="FF1F3864"/>
        <bgColor rgb="FF2E5395"/>
      </patternFill>
    </fill>
    <fill>
      <patternFill patternType="solid">
        <fgColor rgb="FFFFF2CC"/>
        <bgColor rgb="FFFCE4D6"/>
      </patternFill>
    </fill>
    <fill>
      <patternFill patternType="solid">
        <fgColor rgb="FF2E5395"/>
        <bgColor rgb="FF1F3864"/>
      </patternFill>
    </fill>
    <fill>
      <patternFill patternType="solid">
        <fgColor rgb="FFE2EFDA"/>
        <bgColor rgb="FFDDEBF7"/>
      </patternFill>
    </fill>
    <fill>
      <patternFill patternType="solid">
        <fgColor rgb="FFD9E1F2"/>
        <bgColor rgb="FFDDEBF7"/>
      </patternFill>
    </fill>
    <fill>
      <patternFill patternType="solid">
        <fgColor rgb="FFDDEBF7"/>
        <bgColor rgb="FFD9E1F2"/>
      </patternFill>
    </fill>
    <fill>
      <patternFill patternType="solid">
        <fgColor rgb="FF7F6000"/>
        <bgColor rgb="FF595959"/>
      </patternFill>
    </fill>
    <fill>
      <patternFill patternType="solid">
        <fgColor rgb="FFFCE4D6"/>
        <bgColor rgb="FFFFF2CC"/>
      </patternFill>
    </fill>
    <fill>
      <patternFill patternType="solid">
        <fgColor rgb="FFFFFF00"/>
        <bgColor rgb="FFFFFF00"/>
      </patternFill>
    </fill>
  </fills>
  <borders count="10">
    <border>
      <left/>
      <right/>
      <top/>
      <bottom/>
      <diagonal/>
    </border>
    <border>
      <left style="thin">
        <color rgb="FF999999"/>
      </left>
      <right style="thin">
        <color rgb="FF999999"/>
      </right>
      <top style="thin">
        <color rgb="FF999999"/>
      </top>
      <bottom style="thin">
        <color rgb="FF999999"/>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
      <left/>
      <right/>
      <top/>
      <bottom style="thin">
        <color rgb="FF999999"/>
      </bottom>
      <diagonal/>
    </border>
    <border>
      <left style="thin">
        <color rgb="FF999999"/>
      </left>
      <right/>
      <top style="thin">
        <color rgb="FF999999"/>
      </top>
      <bottom style="thin">
        <color rgb="FF999999"/>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110">
    <xf numFmtId="0" fontId="0" fillId="0" borderId="0" xfId="0"/>
    <xf numFmtId="0" fontId="5" fillId="0" borderId="1" xfId="0" applyFont="1" applyBorder="1"/>
    <xf numFmtId="0" fontId="7" fillId="0" borderId="0" xfId="0" applyFont="1"/>
    <xf numFmtId="0" fontId="3" fillId="0" borderId="0" xfId="0" applyFont="1"/>
    <xf numFmtId="0" fontId="4" fillId="3" borderId="1" xfId="0" applyFont="1" applyFill="1" applyBorder="1"/>
    <xf numFmtId="0" fontId="8" fillId="0" borderId="1" xfId="0" applyFont="1" applyBorder="1"/>
    <xf numFmtId="0" fontId="9" fillId="4" borderId="1" xfId="0" applyFont="1" applyFill="1" applyBorder="1" applyAlignment="1">
      <alignment horizontal="center"/>
    </xf>
    <xf numFmtId="0" fontId="11" fillId="0" borderId="0" xfId="0" applyFont="1"/>
    <xf numFmtId="165" fontId="4" fillId="3" borderId="1" xfId="0" applyNumberFormat="1" applyFont="1" applyFill="1" applyBorder="1"/>
    <xf numFmtId="164" fontId="4" fillId="3" borderId="1" xfId="0" applyNumberFormat="1" applyFont="1" applyFill="1" applyBorder="1"/>
    <xf numFmtId="2" fontId="4" fillId="3" borderId="1" xfId="0" applyNumberFormat="1" applyFont="1" applyFill="1" applyBorder="1"/>
    <xf numFmtId="0" fontId="5" fillId="0" borderId="1" xfId="0" applyFont="1" applyBorder="1" applyAlignment="1">
      <alignment vertical="center" wrapText="1"/>
    </xf>
    <xf numFmtId="0" fontId="9" fillId="4" borderId="2" xfId="0" applyFont="1" applyFill="1" applyBorder="1" applyAlignment="1">
      <alignment horizontal="center" wrapText="1"/>
    </xf>
    <xf numFmtId="0" fontId="3" fillId="0" borderId="2" xfId="0" applyFont="1" applyBorder="1"/>
    <xf numFmtId="164" fontId="3" fillId="0" borderId="2" xfId="0" applyNumberFormat="1" applyFont="1" applyBorder="1"/>
    <xf numFmtId="165" fontId="3" fillId="0" borderId="2" xfId="0" applyNumberFormat="1" applyFont="1" applyBorder="1"/>
    <xf numFmtId="0" fontId="16" fillId="0" borderId="0" xfId="0" applyFont="1"/>
    <xf numFmtId="166" fontId="4" fillId="3" borderId="1" xfId="0" applyNumberFormat="1" applyFont="1" applyFill="1" applyBorder="1"/>
    <xf numFmtId="165" fontId="5" fillId="0" borderId="1" xfId="0" applyNumberFormat="1" applyFont="1" applyBorder="1"/>
    <xf numFmtId="164" fontId="5" fillId="0" borderId="1" xfId="0" applyNumberFormat="1" applyFont="1" applyBorder="1"/>
    <xf numFmtId="0" fontId="7" fillId="0" borderId="0" xfId="0" applyFont="1" applyAlignment="1">
      <alignment vertical="center" wrapText="1"/>
    </xf>
    <xf numFmtId="0" fontId="2" fillId="2" borderId="0" xfId="0" applyFont="1" applyFill="1"/>
    <xf numFmtId="0" fontId="1" fillId="0" borderId="0" xfId="0" applyFont="1"/>
    <xf numFmtId="0" fontId="1" fillId="2" borderId="3" xfId="0" applyFont="1" applyFill="1" applyBorder="1"/>
    <xf numFmtId="0" fontId="2" fillId="0" borderId="0" xfId="0" applyFont="1"/>
    <xf numFmtId="0" fontId="5" fillId="0" borderId="5" xfId="0" applyFont="1" applyBorder="1"/>
    <xf numFmtId="0" fontId="5" fillId="0" borderId="0" xfId="0" applyFont="1"/>
    <xf numFmtId="0" fontId="2" fillId="0" borderId="0" xfId="0" applyFont="1" applyAlignment="1">
      <alignment wrapText="1"/>
    </xf>
    <xf numFmtId="0" fontId="0" fillId="0" borderId="0" xfId="0" applyAlignment="1">
      <alignment wrapText="1"/>
    </xf>
    <xf numFmtId="0" fontId="4" fillId="3" borderId="1" xfId="0" applyFont="1" applyFill="1" applyBorder="1" applyAlignment="1">
      <alignment horizontal="right"/>
    </xf>
    <xf numFmtId="0" fontId="3" fillId="0" borderId="3" xfId="0" applyFont="1" applyBorder="1"/>
    <xf numFmtId="0" fontId="4" fillId="3" borderId="3" xfId="0" applyFont="1" applyFill="1" applyBorder="1" applyAlignment="1">
      <alignment horizontal="right"/>
    </xf>
    <xf numFmtId="3" fontId="4" fillId="3" borderId="3" xfId="0" applyNumberFormat="1" applyFont="1" applyFill="1" applyBorder="1" applyAlignment="1">
      <alignment horizontal="right"/>
    </xf>
    <xf numFmtId="0" fontId="5" fillId="0" borderId="3" xfId="0" applyFont="1" applyBorder="1" applyAlignment="1">
      <alignment horizontal="right"/>
    </xf>
    <xf numFmtId="0" fontId="6" fillId="0" borderId="3" xfId="0" applyFont="1" applyBorder="1" applyAlignment="1">
      <alignment horizontal="right"/>
    </xf>
    <xf numFmtId="0" fontId="7" fillId="0" borderId="0" xfId="0" applyFont="1" applyAlignment="1">
      <alignment wrapText="1"/>
    </xf>
    <xf numFmtId="0" fontId="2" fillId="4" borderId="3" xfId="0" applyFont="1" applyFill="1" applyBorder="1"/>
    <xf numFmtId="0" fontId="8" fillId="0" borderId="3" xfId="0" applyFont="1" applyBorder="1"/>
    <xf numFmtId="0" fontId="9" fillId="4" borderId="3" xfId="0" applyFont="1" applyFill="1" applyBorder="1" applyAlignment="1">
      <alignment horizontal="center"/>
    </xf>
    <xf numFmtId="0" fontId="5" fillId="0" borderId="3" xfId="0" applyFont="1" applyBorder="1"/>
    <xf numFmtId="164" fontId="8" fillId="0" borderId="3" xfId="0" applyNumberFormat="1" applyFont="1" applyBorder="1"/>
    <xf numFmtId="0" fontId="8" fillId="0" borderId="3" xfId="0" applyFont="1" applyBorder="1" applyAlignment="1">
      <alignment horizontal="right"/>
    </xf>
    <xf numFmtId="3" fontId="8" fillId="0" borderId="3" xfId="0" applyNumberFormat="1" applyFont="1" applyBorder="1" applyAlignment="1">
      <alignment horizontal="right"/>
    </xf>
    <xf numFmtId="164" fontId="8" fillId="0" borderId="3" xfId="0" applyNumberFormat="1" applyFont="1" applyBorder="1" applyAlignment="1">
      <alignment horizontal="right"/>
    </xf>
    <xf numFmtId="0" fontId="10" fillId="5" borderId="3" xfId="0" applyFont="1" applyFill="1" applyBorder="1" applyAlignment="1">
      <alignment horizontal="right"/>
    </xf>
    <xf numFmtId="0" fontId="0" fillId="0" borderId="0" xfId="0" applyAlignment="1">
      <alignment horizontal="right"/>
    </xf>
    <xf numFmtId="0" fontId="0" fillId="0" borderId="3" xfId="0" applyBorder="1"/>
    <xf numFmtId="0" fontId="12" fillId="0" borderId="3" xfId="0" applyFont="1" applyBorder="1"/>
    <xf numFmtId="164" fontId="12" fillId="6" borderId="3" xfId="0" applyNumberFormat="1" applyFont="1" applyFill="1" applyBorder="1"/>
    <xf numFmtId="0" fontId="13" fillId="0" borderId="0" xfId="0" applyFont="1" applyAlignment="1">
      <alignment vertical="top" wrapText="1"/>
    </xf>
    <xf numFmtId="165" fontId="5" fillId="7" borderId="3" xfId="0" applyNumberFormat="1" applyFont="1" applyFill="1" applyBorder="1"/>
    <xf numFmtId="164" fontId="8" fillId="7" borderId="3" xfId="0" applyNumberFormat="1" applyFont="1" applyFill="1" applyBorder="1"/>
    <xf numFmtId="0" fontId="11" fillId="0" borderId="3" xfId="0" applyFont="1" applyBorder="1"/>
    <xf numFmtId="164" fontId="11" fillId="6" borderId="3" xfId="0" applyNumberFormat="1" applyFont="1" applyFill="1" applyBorder="1"/>
    <xf numFmtId="165" fontId="4" fillId="3" borderId="3" xfId="0" applyNumberFormat="1" applyFont="1" applyFill="1" applyBorder="1"/>
    <xf numFmtId="164" fontId="5" fillId="7" borderId="3" xfId="0" applyNumberFormat="1" applyFont="1" applyFill="1" applyBorder="1"/>
    <xf numFmtId="0" fontId="2" fillId="2" borderId="3" xfId="0" applyFont="1" applyFill="1" applyBorder="1"/>
    <xf numFmtId="164" fontId="5" fillId="0" borderId="3" xfId="0" applyNumberFormat="1" applyFont="1" applyBorder="1"/>
    <xf numFmtId="0" fontId="8" fillId="0" borderId="0" xfId="0" applyFont="1"/>
    <xf numFmtId="165" fontId="5" fillId="0" borderId="0" xfId="0" applyNumberFormat="1" applyFont="1"/>
    <xf numFmtId="164" fontId="5" fillId="0" borderId="0" xfId="0" applyNumberFormat="1" applyFont="1"/>
    <xf numFmtId="164" fontId="5" fillId="0" borderId="3" xfId="0" applyNumberFormat="1" applyFont="1" applyBorder="1" applyAlignment="1">
      <alignment horizontal="right"/>
    </xf>
    <xf numFmtId="2" fontId="5" fillId="0" borderId="3" xfId="0" applyNumberFormat="1" applyFont="1" applyBorder="1"/>
    <xf numFmtId="0" fontId="7" fillId="0" borderId="3" xfId="0" applyFont="1" applyBorder="1"/>
    <xf numFmtId="166" fontId="5" fillId="0" borderId="3" xfId="0" applyNumberFormat="1" applyFont="1" applyBorder="1" applyAlignment="1">
      <alignment horizontal="right"/>
    </xf>
    <xf numFmtId="166" fontId="4" fillId="3" borderId="3" xfId="0" applyNumberFormat="1" applyFont="1" applyFill="1" applyBorder="1" applyAlignment="1">
      <alignment horizontal="right"/>
    </xf>
    <xf numFmtId="166" fontId="11" fillId="6" borderId="3" xfId="0" applyNumberFormat="1" applyFont="1" applyFill="1" applyBorder="1" applyAlignment="1">
      <alignment horizontal="right"/>
    </xf>
    <xf numFmtId="0" fontId="1" fillId="0" borderId="0" xfId="0" applyFont="1" applyAlignment="1">
      <alignment vertical="center"/>
    </xf>
    <xf numFmtId="0" fontId="0" fillId="0" borderId="0" xfId="0" applyAlignment="1">
      <alignment vertical="center"/>
    </xf>
    <xf numFmtId="164" fontId="4" fillId="3" borderId="3" xfId="0" applyNumberFormat="1" applyFont="1" applyFill="1" applyBorder="1" applyAlignment="1">
      <alignment horizontal="right"/>
    </xf>
    <xf numFmtId="0" fontId="0" fillId="0" borderId="0" xfId="0" applyAlignment="1">
      <alignment horizontal="left" vertical="center"/>
    </xf>
    <xf numFmtId="0" fontId="0" fillId="0" borderId="0" xfId="0" applyAlignment="1">
      <alignment horizontal="left" vertical="center" wrapText="1"/>
    </xf>
    <xf numFmtId="0" fontId="2" fillId="0" borderId="0" xfId="0" applyFont="1" applyAlignment="1">
      <alignment vertical="center"/>
    </xf>
    <xf numFmtId="164" fontId="12" fillId="6" borderId="3" xfId="0" applyNumberFormat="1" applyFont="1" applyFill="1" applyBorder="1" applyAlignment="1">
      <alignment horizontal="right"/>
    </xf>
    <xf numFmtId="164" fontId="5" fillId="7" borderId="3" xfId="0" applyNumberFormat="1" applyFont="1" applyFill="1" applyBorder="1" applyAlignment="1">
      <alignment horizontal="right"/>
    </xf>
    <xf numFmtId="0" fontId="13" fillId="0" borderId="0" xfId="0" applyFont="1" applyAlignment="1">
      <alignment vertical="center" wrapText="1"/>
    </xf>
    <xf numFmtId="0" fontId="17" fillId="0" borderId="3" xfId="0" applyFont="1" applyBorder="1"/>
    <xf numFmtId="0" fontId="18" fillId="0" borderId="3" xfId="0" applyFont="1" applyBorder="1"/>
    <xf numFmtId="165" fontId="5" fillId="0" borderId="3" xfId="0" applyNumberFormat="1" applyFont="1" applyBorder="1"/>
    <xf numFmtId="2" fontId="5" fillId="0" borderId="3" xfId="0" applyNumberFormat="1" applyFont="1" applyBorder="1" applyAlignment="1">
      <alignment horizontal="right"/>
    </xf>
    <xf numFmtId="0" fontId="6" fillId="9" borderId="3" xfId="0" applyFont="1" applyFill="1" applyBorder="1"/>
    <xf numFmtId="0" fontId="6" fillId="9" borderId="3" xfId="0" applyFont="1" applyFill="1" applyBorder="1" applyAlignment="1">
      <alignment horizontal="right"/>
    </xf>
    <xf numFmtId="165" fontId="19" fillId="3" borderId="3" xfId="0" applyNumberFormat="1" applyFont="1" applyFill="1" applyBorder="1"/>
    <xf numFmtId="165" fontId="5" fillId="7" borderId="3" xfId="0" applyNumberFormat="1" applyFont="1" applyFill="1" applyBorder="1" applyAlignment="1">
      <alignment horizontal="right"/>
    </xf>
    <xf numFmtId="0" fontId="2" fillId="2" borderId="4" xfId="0" applyFont="1" applyFill="1" applyBorder="1" applyAlignment="1">
      <alignment horizontal="center"/>
    </xf>
    <xf numFmtId="0" fontId="2" fillId="2" borderId="0" xfId="0" applyFont="1" applyFill="1" applyAlignment="1">
      <alignment horizontal="center"/>
    </xf>
    <xf numFmtId="0" fontId="1" fillId="2" borderId="0" xfId="0" applyFont="1" applyFill="1" applyAlignment="1">
      <alignment horizontal="center"/>
    </xf>
    <xf numFmtId="0" fontId="2" fillId="8" borderId="3" xfId="0" applyFont="1" applyFill="1" applyBorder="1" applyAlignment="1">
      <alignment horizontal="center"/>
    </xf>
    <xf numFmtId="0" fontId="13" fillId="9" borderId="0" xfId="0" applyFont="1" applyFill="1" applyAlignment="1">
      <alignment horizontal="left" vertical="center" wrapText="1"/>
    </xf>
    <xf numFmtId="0" fontId="2" fillId="2" borderId="3" xfId="0" applyFont="1" applyFill="1" applyBorder="1" applyAlignment="1">
      <alignment horizontal="center"/>
    </xf>
    <xf numFmtId="0" fontId="15" fillId="10" borderId="0" xfId="0" applyFont="1" applyFill="1" applyAlignment="1">
      <alignment vertical="center" wrapText="1"/>
    </xf>
    <xf numFmtId="0" fontId="2" fillId="2" borderId="4" xfId="0" applyFont="1" applyFill="1" applyBorder="1" applyAlignment="1">
      <alignment horizontal="center" wrapText="1"/>
    </xf>
    <xf numFmtId="0" fontId="2" fillId="2" borderId="0" xfId="0" applyFont="1" applyFill="1"/>
    <xf numFmtId="0" fontId="13" fillId="9" borderId="0" xfId="0" applyFont="1" applyFill="1" applyAlignment="1">
      <alignment vertical="center" wrapText="1"/>
    </xf>
    <xf numFmtId="0" fontId="1" fillId="2" borderId="0" xfId="0" applyFont="1" applyFill="1"/>
    <xf numFmtId="0" fontId="7" fillId="0" borderId="0" xfId="0" applyFont="1"/>
    <xf numFmtId="0" fontId="7" fillId="0" borderId="0" xfId="0" applyFont="1" applyAlignment="1">
      <alignment horizontal="left" vertical="center" wrapText="1"/>
    </xf>
    <xf numFmtId="0" fontId="11" fillId="0" borderId="6" xfId="0" applyFont="1" applyBorder="1" applyAlignment="1">
      <alignment horizontal="center"/>
    </xf>
    <xf numFmtId="0" fontId="11" fillId="0" borderId="7" xfId="0" applyFont="1" applyBorder="1" applyAlignment="1">
      <alignment horizontal="center"/>
    </xf>
    <xf numFmtId="0" fontId="11" fillId="0" borderId="8" xfId="0" applyFont="1" applyBorder="1" applyAlignment="1">
      <alignment horizontal="center"/>
    </xf>
    <xf numFmtId="0" fontId="1" fillId="2" borderId="0" xfId="0" applyFont="1" applyFill="1" applyAlignment="1">
      <alignment horizontal="center" vertical="center"/>
    </xf>
    <xf numFmtId="0" fontId="2" fillId="2" borderId="9" xfId="0" applyFont="1" applyFill="1" applyBorder="1" applyAlignment="1">
      <alignment horizontal="center"/>
    </xf>
    <xf numFmtId="0" fontId="2" fillId="2" borderId="0" xfId="0" applyFont="1" applyFill="1" applyAlignment="1">
      <alignment horizontal="center" vertical="center"/>
    </xf>
    <xf numFmtId="0" fontId="7" fillId="0" borderId="3" xfId="0" applyFont="1" applyBorder="1"/>
    <xf numFmtId="0" fontId="14" fillId="0" borderId="3" xfId="0" applyFont="1" applyBorder="1"/>
    <xf numFmtId="0" fontId="13" fillId="0" borderId="0" xfId="0" applyFont="1" applyAlignment="1">
      <alignment horizontal="center" vertical="center" wrapText="1"/>
    </xf>
    <xf numFmtId="0" fontId="1" fillId="2" borderId="0" xfId="0" applyFont="1" applyFill="1" applyAlignment="1">
      <alignment horizontal="left" vertical="center"/>
    </xf>
    <xf numFmtId="0" fontId="2" fillId="2" borderId="6" xfId="0" applyFont="1" applyFill="1" applyBorder="1" applyAlignment="1">
      <alignment horizontal="center"/>
    </xf>
    <xf numFmtId="0" fontId="2" fillId="2" borderId="8" xfId="0" applyFont="1" applyFill="1" applyBorder="1" applyAlignment="1">
      <alignment horizontal="center"/>
    </xf>
    <xf numFmtId="0" fontId="7" fillId="0" borderId="0" xfId="0" applyFont="1" applyAlignment="1">
      <alignment vertical="center" wrapText="1"/>
    </xf>
  </cellXfs>
  <cellStyles count="1">
    <cellStyle name="Normal" xfId="0" builtinId="0"/>
  </cellStyles>
  <dxfs count="16">
    <dxf>
      <font>
        <b/>
        <sz val="10"/>
        <color rgb="FF9C0006"/>
        <name val="Arial"/>
        <charset val="1"/>
      </font>
      <fill>
        <patternFill>
          <bgColor rgb="FFFFC7CE"/>
        </patternFill>
      </fill>
    </dxf>
    <dxf>
      <font>
        <b/>
        <sz val="10"/>
        <color rgb="FF006100"/>
        <name val="Arial"/>
        <charset val="1"/>
      </font>
      <fill>
        <patternFill>
          <bgColor rgb="FFC6EFCE"/>
        </patternFill>
      </fill>
    </dxf>
    <dxf>
      <font>
        <b/>
        <sz val="10"/>
        <color rgb="FF9C0006"/>
        <name val="Arial"/>
        <charset val="1"/>
      </font>
      <fill>
        <patternFill>
          <bgColor rgb="FFFFC7CE"/>
        </patternFill>
      </fill>
    </dxf>
    <dxf>
      <font>
        <b/>
        <sz val="10"/>
        <color rgb="FF006100"/>
        <name val="Arial"/>
        <charset val="1"/>
      </font>
      <fill>
        <patternFill>
          <bgColor rgb="FFC6EFCE"/>
        </patternFill>
      </fill>
    </dxf>
    <dxf>
      <font>
        <b/>
        <sz val="10"/>
        <color rgb="FF9C0006"/>
        <name val="Arial"/>
        <charset val="1"/>
      </font>
      <fill>
        <patternFill>
          <bgColor rgb="FFFFC7CE"/>
        </patternFill>
      </fill>
    </dxf>
    <dxf>
      <font>
        <b/>
        <sz val="10"/>
        <color rgb="FF006100"/>
        <name val="Arial"/>
        <charset val="1"/>
      </font>
      <fill>
        <patternFill>
          <bgColor rgb="FFC6EFCE"/>
        </patternFill>
      </fill>
    </dxf>
    <dxf>
      <font>
        <b/>
        <sz val="10"/>
        <color rgb="FF9C0006"/>
        <name val="Arial"/>
        <charset val="1"/>
      </font>
      <fill>
        <patternFill>
          <bgColor rgb="FFFFC7CE"/>
        </patternFill>
      </fill>
    </dxf>
    <dxf>
      <font>
        <b/>
        <sz val="10"/>
        <color rgb="FF006100"/>
        <name val="Arial"/>
        <charset val="1"/>
      </font>
      <fill>
        <patternFill>
          <bgColor rgb="FFC6EFCE"/>
        </patternFill>
      </fill>
    </dxf>
    <dxf>
      <font>
        <b/>
        <sz val="10"/>
        <color rgb="FF9C0006"/>
        <name val="Arial"/>
        <charset val="1"/>
      </font>
      <fill>
        <patternFill>
          <bgColor rgb="FFFFC7CE"/>
        </patternFill>
      </fill>
    </dxf>
    <dxf>
      <font>
        <b/>
        <sz val="10"/>
        <color rgb="FF006100"/>
        <name val="Arial"/>
        <charset val="1"/>
      </font>
      <fill>
        <patternFill>
          <bgColor rgb="FFC6EFCE"/>
        </patternFill>
      </fill>
    </dxf>
    <dxf>
      <font>
        <b/>
        <sz val="10"/>
        <color rgb="FF9C0006"/>
        <name val="Arial"/>
        <charset val="1"/>
      </font>
      <fill>
        <patternFill>
          <bgColor rgb="FFFFC7CE"/>
        </patternFill>
      </fill>
    </dxf>
    <dxf>
      <font>
        <b/>
        <sz val="10"/>
        <color rgb="FF006100"/>
        <name val="Arial"/>
        <charset val="1"/>
      </font>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9C0006"/>
      <rgbColor rgb="FF008000"/>
      <rgbColor rgb="FF000080"/>
      <rgbColor rgb="FF7F6000"/>
      <rgbColor rgb="FF800080"/>
      <rgbColor rgb="FF008080"/>
      <rgbColor rgb="FFCCCCCC"/>
      <rgbColor rgb="FF808080"/>
      <rgbColor rgb="FF9999FF"/>
      <rgbColor rgb="FF993366"/>
      <rgbColor rgb="FFFFF2CC"/>
      <rgbColor rgb="FFDDEB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E2EFDA"/>
      <rgbColor rgb="FFC6EFCE"/>
      <rgbColor rgb="FFFCE4D6"/>
      <rgbColor rgb="FF99CCFF"/>
      <rgbColor rgb="FFFF99CC"/>
      <rgbColor rgb="FFCC99FF"/>
      <rgbColor rgb="FFFFC7CE"/>
      <rgbColor rgb="FF3366FF"/>
      <rgbColor rgb="FF33CCCC"/>
      <rgbColor rgb="FF99CC00"/>
      <rgbColor rgb="FFFFCC00"/>
      <rgbColor rgb="FFFF9900"/>
      <rgbColor rgb="FFFF6600"/>
      <rgbColor rgb="FF595959"/>
      <rgbColor rgb="FF999999"/>
      <rgbColor rgb="FF1F3864"/>
      <rgbColor rgb="FF339966"/>
      <rgbColor rgb="FF006100"/>
      <rgbColor rgb="FF333300"/>
      <rgbColor rgb="FF993300"/>
      <rgbColor rgb="FF993366"/>
      <rgbColor rgb="FF2E5395"/>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97"/>
  <sheetViews>
    <sheetView zoomScale="55" zoomScaleNormal="55" workbookViewId="0">
      <pane ySplit="1" topLeftCell="A2" activePane="bottomLeft" state="frozen"/>
      <selection pane="bottomLeft" activeCell="A17" sqref="A17:E17"/>
    </sheetView>
  </sheetViews>
  <sheetFormatPr defaultColWidth="8.77734375" defaultRowHeight="14.4" x14ac:dyDescent="0.3"/>
  <cols>
    <col min="1" max="1" width="39.5546875" bestFit="1" customWidth="1"/>
    <col min="2" max="2" width="25.77734375" customWidth="1"/>
    <col min="3" max="3" width="19.21875" bestFit="1" customWidth="1"/>
    <col min="4" max="5" width="16" customWidth="1"/>
  </cols>
  <sheetData>
    <row r="1" spans="1:5" ht="19.5" customHeight="1" x14ac:dyDescent="0.3">
      <c r="A1" s="23" t="s">
        <v>389</v>
      </c>
      <c r="B1" s="22"/>
      <c r="C1" s="22"/>
      <c r="D1" s="22"/>
      <c r="E1" s="22"/>
    </row>
    <row r="3" spans="1:5" ht="15" customHeight="1" x14ac:dyDescent="0.3">
      <c r="A3" s="84" t="s">
        <v>268</v>
      </c>
      <c r="B3" s="84"/>
      <c r="C3" s="84"/>
      <c r="D3" s="24"/>
    </row>
    <row r="4" spans="1:5" ht="15" customHeight="1" x14ac:dyDescent="0.3">
      <c r="A4" s="6" t="s">
        <v>269</v>
      </c>
      <c r="B4" s="6" t="s">
        <v>270</v>
      </c>
      <c r="C4" s="6" t="s">
        <v>271</v>
      </c>
    </row>
    <row r="5" spans="1:5" ht="15" customHeight="1" x14ac:dyDescent="0.3">
      <c r="A5" s="1" t="s">
        <v>176</v>
      </c>
      <c r="B5" s="4">
        <v>0</v>
      </c>
      <c r="C5" s="4">
        <v>499</v>
      </c>
    </row>
    <row r="6" spans="1:5" ht="15" customHeight="1" x14ac:dyDescent="0.3">
      <c r="A6" s="1" t="s">
        <v>219</v>
      </c>
      <c r="B6" s="4">
        <v>500</v>
      </c>
      <c r="C6" s="4">
        <v>2499</v>
      </c>
    </row>
    <row r="7" spans="1:5" ht="15" customHeight="1" x14ac:dyDescent="0.3">
      <c r="A7" s="1" t="s">
        <v>195</v>
      </c>
      <c r="B7" s="4">
        <v>2500</v>
      </c>
      <c r="C7" s="4">
        <v>9999</v>
      </c>
    </row>
    <row r="8" spans="1:5" ht="15" customHeight="1" x14ac:dyDescent="0.3">
      <c r="A8" s="1" t="s">
        <v>204</v>
      </c>
      <c r="B8" s="4">
        <v>10000</v>
      </c>
      <c r="C8" s="4" t="s">
        <v>272</v>
      </c>
    </row>
    <row r="10" spans="1:5" ht="15" customHeight="1" x14ac:dyDescent="0.3">
      <c r="A10" s="1" t="s">
        <v>273</v>
      </c>
      <c r="B10" s="8">
        <v>0.05</v>
      </c>
    </row>
    <row r="12" spans="1:5" ht="15" customHeight="1" x14ac:dyDescent="0.3">
      <c r="A12" s="84" t="s">
        <v>274</v>
      </c>
      <c r="B12" s="84"/>
      <c r="C12" s="84"/>
      <c r="D12" s="84"/>
      <c r="E12" s="84"/>
    </row>
    <row r="13" spans="1:5" ht="15" customHeight="1" x14ac:dyDescent="0.3">
      <c r="A13" s="6" t="s">
        <v>275</v>
      </c>
      <c r="B13" s="6" t="s">
        <v>176</v>
      </c>
      <c r="C13" s="6" t="s">
        <v>219</v>
      </c>
      <c r="D13" s="6" t="s">
        <v>195</v>
      </c>
      <c r="E13" s="6" t="s">
        <v>204</v>
      </c>
    </row>
    <row r="14" spans="1:5" ht="15" customHeight="1" x14ac:dyDescent="0.3">
      <c r="A14" s="1" t="s">
        <v>178</v>
      </c>
      <c r="B14" s="9">
        <v>14000</v>
      </c>
      <c r="C14" s="9">
        <v>32000</v>
      </c>
      <c r="D14" s="9">
        <v>68000</v>
      </c>
      <c r="E14" s="9">
        <v>130000</v>
      </c>
    </row>
    <row r="15" spans="1:5" ht="15" customHeight="1" x14ac:dyDescent="0.3">
      <c r="A15" s="1" t="s">
        <v>14</v>
      </c>
      <c r="B15" s="9">
        <v>20000</v>
      </c>
      <c r="C15" s="9">
        <v>48000</v>
      </c>
      <c r="D15" s="9">
        <v>100000</v>
      </c>
      <c r="E15" s="9">
        <v>190000</v>
      </c>
    </row>
    <row r="17" spans="1:5" ht="27.75" customHeight="1" x14ac:dyDescent="0.3">
      <c r="A17" s="90" t="s">
        <v>276</v>
      </c>
      <c r="B17" s="90"/>
      <c r="C17" s="90"/>
      <c r="D17" s="90"/>
      <c r="E17" s="90"/>
    </row>
    <row r="19" spans="1:5" ht="15" customHeight="1" x14ac:dyDescent="0.3">
      <c r="A19" s="92" t="s">
        <v>277</v>
      </c>
      <c r="B19" s="92"/>
      <c r="C19" s="92"/>
      <c r="D19" s="92"/>
    </row>
    <row r="20" spans="1:5" ht="15" customHeight="1" x14ac:dyDescent="0.3">
      <c r="A20" s="6" t="s">
        <v>278</v>
      </c>
      <c r="B20" s="6" t="s">
        <v>279</v>
      </c>
    </row>
    <row r="21" spans="1:5" ht="15" customHeight="1" x14ac:dyDescent="0.3">
      <c r="A21" s="1" t="s">
        <v>19</v>
      </c>
      <c r="B21" s="8">
        <v>0.25</v>
      </c>
    </row>
    <row r="22" spans="1:5" ht="15" customHeight="1" x14ac:dyDescent="0.3">
      <c r="A22" s="1" t="s">
        <v>21</v>
      </c>
      <c r="B22" s="8">
        <v>0.08</v>
      </c>
    </row>
    <row r="23" spans="1:5" ht="15" customHeight="1" x14ac:dyDescent="0.3">
      <c r="A23" s="1" t="s">
        <v>22</v>
      </c>
      <c r="B23" s="8">
        <v>0.08</v>
      </c>
    </row>
    <row r="24" spans="1:5" ht="15" customHeight="1" x14ac:dyDescent="0.3">
      <c r="A24" s="1" t="s">
        <v>24</v>
      </c>
      <c r="B24" s="8">
        <v>0.1</v>
      </c>
    </row>
    <row r="26" spans="1:5" ht="39.6" customHeight="1" x14ac:dyDescent="0.3">
      <c r="A26" s="90" t="s">
        <v>280</v>
      </c>
      <c r="B26" s="90"/>
      <c r="C26" s="90"/>
      <c r="D26" s="90"/>
      <c r="E26" s="90"/>
    </row>
    <row r="28" spans="1:5" ht="15" customHeight="1" x14ac:dyDescent="0.3">
      <c r="A28" s="84" t="s">
        <v>281</v>
      </c>
      <c r="B28" s="84"/>
      <c r="C28" s="84"/>
      <c r="D28" s="84"/>
      <c r="E28" s="84"/>
    </row>
    <row r="29" spans="1:5" ht="15" customHeight="1" x14ac:dyDescent="0.3">
      <c r="A29" s="6" t="s">
        <v>282</v>
      </c>
      <c r="B29" s="6" t="s">
        <v>176</v>
      </c>
      <c r="C29" s="6" t="s">
        <v>219</v>
      </c>
      <c r="D29" s="6" t="s">
        <v>195</v>
      </c>
      <c r="E29" s="6" t="s">
        <v>204</v>
      </c>
    </row>
    <row r="30" spans="1:5" ht="15" customHeight="1" x14ac:dyDescent="0.3">
      <c r="A30" s="1" t="s">
        <v>26</v>
      </c>
      <c r="B30" s="9">
        <v>5000</v>
      </c>
      <c r="C30" s="9">
        <v>11000</v>
      </c>
      <c r="D30" s="9">
        <v>22000</v>
      </c>
      <c r="E30" s="9">
        <v>40000</v>
      </c>
    </row>
    <row r="31" spans="1:5" ht="15" customHeight="1" x14ac:dyDescent="0.3">
      <c r="A31" s="1" t="s">
        <v>27</v>
      </c>
      <c r="B31" s="9">
        <v>6000</v>
      </c>
      <c r="C31" s="9">
        <v>13000</v>
      </c>
      <c r="D31" s="9">
        <v>26000</v>
      </c>
      <c r="E31" s="9">
        <v>46000</v>
      </c>
    </row>
    <row r="32" spans="1:5" ht="15" customHeight="1" x14ac:dyDescent="0.3">
      <c r="A32" s="1" t="s">
        <v>28</v>
      </c>
      <c r="B32" s="9">
        <v>5500</v>
      </c>
      <c r="C32" s="9">
        <v>12000</v>
      </c>
      <c r="D32" s="9">
        <v>24000</v>
      </c>
      <c r="E32" s="9">
        <v>42000</v>
      </c>
    </row>
    <row r="33" spans="1:5" ht="15" customHeight="1" x14ac:dyDescent="0.3">
      <c r="A33" s="1" t="s">
        <v>29</v>
      </c>
      <c r="B33" s="9">
        <v>6500</v>
      </c>
      <c r="C33" s="9">
        <v>14000</v>
      </c>
      <c r="D33" s="9">
        <v>28000</v>
      </c>
      <c r="E33" s="9">
        <v>50000</v>
      </c>
    </row>
    <row r="34" spans="1:5" ht="15" customHeight="1" x14ac:dyDescent="0.3">
      <c r="A34" s="1" t="s">
        <v>30</v>
      </c>
      <c r="B34" s="9">
        <v>2500</v>
      </c>
      <c r="C34" s="9">
        <v>5500</v>
      </c>
      <c r="D34" s="9">
        <v>11000</v>
      </c>
      <c r="E34" s="9">
        <v>19000</v>
      </c>
    </row>
    <row r="35" spans="1:5" ht="15" customHeight="1" x14ac:dyDescent="0.3">
      <c r="A35" s="1" t="s">
        <v>31</v>
      </c>
      <c r="B35" s="9">
        <v>1500</v>
      </c>
      <c r="C35" s="9">
        <v>3500</v>
      </c>
      <c r="D35" s="9">
        <v>7000</v>
      </c>
      <c r="E35" s="9">
        <v>12000</v>
      </c>
    </row>
    <row r="36" spans="1:5" ht="15" customHeight="1" x14ac:dyDescent="0.3">
      <c r="A36" s="1" t="s">
        <v>32</v>
      </c>
      <c r="B36" s="9">
        <v>3000</v>
      </c>
      <c r="C36" s="9">
        <v>7000</v>
      </c>
      <c r="D36" s="9">
        <v>14000</v>
      </c>
      <c r="E36" s="9">
        <v>25000</v>
      </c>
    </row>
    <row r="38" spans="1:5" ht="46.2" customHeight="1" x14ac:dyDescent="0.3">
      <c r="A38" s="90" t="s">
        <v>283</v>
      </c>
      <c r="B38" s="90"/>
      <c r="C38" s="90"/>
      <c r="D38" s="90"/>
      <c r="E38" s="90"/>
    </row>
    <row r="40" spans="1:5" ht="54" customHeight="1" x14ac:dyDescent="0.3">
      <c r="A40" s="90" t="s">
        <v>284</v>
      </c>
      <c r="B40" s="90"/>
      <c r="C40" s="90"/>
      <c r="D40" s="90"/>
      <c r="E40" s="90"/>
    </row>
    <row r="42" spans="1:5" ht="15" customHeight="1" x14ac:dyDescent="0.3">
      <c r="A42" s="84" t="s">
        <v>285</v>
      </c>
      <c r="B42" s="84"/>
      <c r="C42" s="24"/>
      <c r="D42" s="24"/>
    </row>
    <row r="43" spans="1:5" ht="15" customHeight="1" x14ac:dyDescent="0.3">
      <c r="A43" s="6" t="s">
        <v>286</v>
      </c>
      <c r="B43" s="6" t="s">
        <v>287</v>
      </c>
    </row>
    <row r="44" spans="1:5" ht="15" customHeight="1" x14ac:dyDescent="0.3">
      <c r="A44" s="1" t="s">
        <v>288</v>
      </c>
      <c r="B44" s="10">
        <v>1.2</v>
      </c>
    </row>
    <row r="45" spans="1:5" ht="15" customHeight="1" x14ac:dyDescent="0.3">
      <c r="A45" s="1" t="s">
        <v>289</v>
      </c>
      <c r="B45" s="10">
        <v>1</v>
      </c>
    </row>
    <row r="46" spans="1:5" ht="15" customHeight="1" x14ac:dyDescent="0.3">
      <c r="A46" s="1" t="s">
        <v>290</v>
      </c>
      <c r="B46" s="10">
        <v>1</v>
      </c>
    </row>
    <row r="47" spans="1:5" ht="15" customHeight="1" x14ac:dyDescent="0.3">
      <c r="A47" s="1" t="s">
        <v>291</v>
      </c>
      <c r="B47" s="10">
        <v>0.97</v>
      </c>
    </row>
    <row r="48" spans="1:5" ht="15" customHeight="1" x14ac:dyDescent="0.3">
      <c r="A48" s="1" t="s">
        <v>292</v>
      </c>
      <c r="B48" s="10">
        <v>0.95</v>
      </c>
    </row>
    <row r="50" spans="1:5" ht="27.75" customHeight="1" x14ac:dyDescent="0.3">
      <c r="A50" s="90" t="s">
        <v>293</v>
      </c>
      <c r="B50" s="90"/>
      <c r="C50" s="90"/>
      <c r="D50" s="90"/>
      <c r="E50" s="90"/>
    </row>
    <row r="52" spans="1:5" ht="15" customHeight="1" x14ac:dyDescent="0.3">
      <c r="A52" s="84" t="s">
        <v>294</v>
      </c>
      <c r="B52" s="84"/>
      <c r="C52" s="84"/>
      <c r="D52" s="84"/>
      <c r="E52" s="84"/>
    </row>
    <row r="53" spans="1:5" ht="15" customHeight="1" x14ac:dyDescent="0.3">
      <c r="A53" s="6" t="s">
        <v>295</v>
      </c>
      <c r="B53" s="6" t="s">
        <v>296</v>
      </c>
      <c r="C53" s="6" t="s">
        <v>297</v>
      </c>
      <c r="D53" s="6" t="s">
        <v>298</v>
      </c>
      <c r="E53" s="6" t="s">
        <v>299</v>
      </c>
    </row>
    <row r="54" spans="1:5" ht="15" customHeight="1" x14ac:dyDescent="0.3">
      <c r="A54" s="1" t="s">
        <v>300</v>
      </c>
      <c r="B54" s="9">
        <v>12000</v>
      </c>
      <c r="C54" s="9">
        <v>25000</v>
      </c>
      <c r="D54" s="9">
        <v>50000</v>
      </c>
      <c r="E54" s="9">
        <v>85000</v>
      </c>
    </row>
    <row r="55" spans="1:5" ht="15" customHeight="1" x14ac:dyDescent="0.3">
      <c r="A55" s="1" t="s">
        <v>301</v>
      </c>
      <c r="B55" s="9">
        <v>8000</v>
      </c>
      <c r="C55" s="9">
        <v>15000</v>
      </c>
      <c r="D55" s="9">
        <v>30000</v>
      </c>
      <c r="E55" s="9">
        <v>50000</v>
      </c>
    </row>
    <row r="56" spans="1:5" ht="15" customHeight="1" x14ac:dyDescent="0.3">
      <c r="A56" s="1" t="s">
        <v>19</v>
      </c>
      <c r="B56" s="9">
        <v>2000</v>
      </c>
      <c r="C56" s="9">
        <v>4000</v>
      </c>
      <c r="D56" s="9">
        <v>8000</v>
      </c>
      <c r="E56" s="9">
        <v>14000</v>
      </c>
    </row>
    <row r="57" spans="1:5" ht="15" customHeight="1" x14ac:dyDescent="0.3">
      <c r="A57" s="1" t="s">
        <v>21</v>
      </c>
      <c r="B57" s="9">
        <v>800</v>
      </c>
      <c r="C57" s="9">
        <v>1600</v>
      </c>
      <c r="D57" s="9">
        <v>3200</v>
      </c>
      <c r="E57" s="9">
        <v>5500</v>
      </c>
    </row>
    <row r="58" spans="1:5" ht="15" customHeight="1" x14ac:dyDescent="0.3">
      <c r="A58" s="1" t="s">
        <v>22</v>
      </c>
      <c r="B58" s="9">
        <v>700</v>
      </c>
      <c r="C58" s="9">
        <v>1400</v>
      </c>
      <c r="D58" s="9">
        <v>2800</v>
      </c>
      <c r="E58" s="9">
        <v>4500</v>
      </c>
    </row>
    <row r="59" spans="1:5" ht="15" customHeight="1" x14ac:dyDescent="0.3">
      <c r="A59" s="1" t="s">
        <v>24</v>
      </c>
      <c r="B59" s="9">
        <v>1500</v>
      </c>
      <c r="C59" s="9">
        <v>3000</v>
      </c>
      <c r="D59" s="9">
        <v>6000</v>
      </c>
      <c r="E59" s="9">
        <v>10000</v>
      </c>
    </row>
    <row r="60" spans="1:5" ht="15" customHeight="1" x14ac:dyDescent="0.3">
      <c r="A60" s="1" t="s">
        <v>26</v>
      </c>
      <c r="B60" s="9">
        <v>1200</v>
      </c>
      <c r="C60" s="9">
        <v>2800</v>
      </c>
      <c r="D60" s="9">
        <v>5500</v>
      </c>
      <c r="E60" s="9">
        <v>9500</v>
      </c>
    </row>
    <row r="61" spans="1:5" ht="15" customHeight="1" x14ac:dyDescent="0.3">
      <c r="A61" s="1" t="s">
        <v>27</v>
      </c>
      <c r="B61" s="9">
        <v>1400</v>
      </c>
      <c r="C61" s="9">
        <v>3000</v>
      </c>
      <c r="D61" s="9">
        <v>6000</v>
      </c>
      <c r="E61" s="9">
        <v>10500</v>
      </c>
    </row>
    <row r="62" spans="1:5" ht="15" customHeight="1" x14ac:dyDescent="0.3">
      <c r="A62" s="1" t="s">
        <v>28</v>
      </c>
      <c r="B62" s="9">
        <v>1300</v>
      </c>
      <c r="C62" s="9">
        <v>2900</v>
      </c>
      <c r="D62" s="9">
        <v>5800</v>
      </c>
      <c r="E62" s="9">
        <v>10000</v>
      </c>
    </row>
    <row r="63" spans="1:5" ht="15" customHeight="1" x14ac:dyDescent="0.3">
      <c r="A63" s="1" t="s">
        <v>29</v>
      </c>
      <c r="B63" s="9">
        <v>1500</v>
      </c>
      <c r="C63" s="9">
        <v>3200</v>
      </c>
      <c r="D63" s="9">
        <v>6500</v>
      </c>
      <c r="E63" s="9">
        <v>11000</v>
      </c>
    </row>
    <row r="64" spans="1:5" ht="15" customHeight="1" x14ac:dyDescent="0.3">
      <c r="A64" s="1" t="s">
        <v>30</v>
      </c>
      <c r="B64" s="9">
        <v>800</v>
      </c>
      <c r="C64" s="9">
        <v>1800</v>
      </c>
      <c r="D64" s="9">
        <v>3500</v>
      </c>
      <c r="E64" s="9">
        <v>6000</v>
      </c>
    </row>
    <row r="65" spans="1:5" ht="15" customHeight="1" x14ac:dyDescent="0.3">
      <c r="A65" s="1" t="s">
        <v>31</v>
      </c>
      <c r="B65" s="9">
        <v>500</v>
      </c>
      <c r="C65" s="9">
        <v>1200</v>
      </c>
      <c r="D65" s="9">
        <v>2200</v>
      </c>
      <c r="E65" s="9">
        <v>4000</v>
      </c>
    </row>
    <row r="66" spans="1:5" ht="15" customHeight="1" x14ac:dyDescent="0.3">
      <c r="A66" s="1" t="s">
        <v>32</v>
      </c>
      <c r="B66" s="9">
        <v>900</v>
      </c>
      <c r="C66" s="9">
        <v>2000</v>
      </c>
      <c r="D66" s="9">
        <v>4000</v>
      </c>
      <c r="E66" s="9">
        <v>7000</v>
      </c>
    </row>
    <row r="67" spans="1:5" ht="15" customHeight="1" x14ac:dyDescent="0.3">
      <c r="A67" s="16" t="s">
        <v>302</v>
      </c>
      <c r="B67" s="2" t="s">
        <v>303</v>
      </c>
      <c r="C67" s="2" t="s">
        <v>304</v>
      </c>
      <c r="D67" s="2" t="s">
        <v>305</v>
      </c>
      <c r="E67" s="2" t="s">
        <v>306</v>
      </c>
    </row>
    <row r="69" spans="1:5" ht="27.75" customHeight="1" x14ac:dyDescent="0.3">
      <c r="A69" s="90" t="s">
        <v>307</v>
      </c>
      <c r="B69" s="90"/>
      <c r="C69" s="90"/>
      <c r="D69" s="90"/>
      <c r="E69" s="90"/>
    </row>
    <row r="71" spans="1:5" ht="25.5" customHeight="1" x14ac:dyDescent="0.3">
      <c r="A71" s="93" t="s">
        <v>308</v>
      </c>
      <c r="B71" s="93"/>
      <c r="C71" s="93"/>
      <c r="D71" s="93"/>
    </row>
    <row r="74" spans="1:5" ht="15" customHeight="1" x14ac:dyDescent="0.3">
      <c r="A74" s="84" t="s">
        <v>390</v>
      </c>
      <c r="B74" s="84"/>
      <c r="C74" s="24"/>
      <c r="D74" s="24"/>
    </row>
    <row r="75" spans="1:5" ht="15" customHeight="1" x14ac:dyDescent="0.3">
      <c r="A75" s="6" t="s">
        <v>15</v>
      </c>
      <c r="B75" s="6" t="s">
        <v>309</v>
      </c>
    </row>
    <row r="76" spans="1:5" ht="15" customHeight="1" x14ac:dyDescent="0.3">
      <c r="A76" s="1" t="s">
        <v>16</v>
      </c>
      <c r="B76" s="25" t="s">
        <v>310</v>
      </c>
      <c r="C76" s="26"/>
      <c r="D76" s="26"/>
    </row>
    <row r="77" spans="1:5" ht="15" customHeight="1" x14ac:dyDescent="0.3">
      <c r="A77" s="1" t="s">
        <v>179</v>
      </c>
      <c r="B77" s="25" t="s">
        <v>310</v>
      </c>
      <c r="C77" s="26"/>
      <c r="D77" s="26"/>
    </row>
    <row r="78" spans="1:5" ht="15" customHeight="1" x14ac:dyDescent="0.3">
      <c r="A78" s="1" t="s">
        <v>197</v>
      </c>
      <c r="B78" s="25" t="s">
        <v>311</v>
      </c>
      <c r="C78" s="26"/>
      <c r="D78" s="26"/>
    </row>
    <row r="79" spans="1:5" ht="15" customHeight="1" x14ac:dyDescent="0.3">
      <c r="A79" s="1" t="s">
        <v>220</v>
      </c>
      <c r="B79" s="25" t="s">
        <v>312</v>
      </c>
      <c r="C79" s="26"/>
      <c r="D79" s="26"/>
    </row>
    <row r="80" spans="1:5" ht="15" customHeight="1" x14ac:dyDescent="0.3">
      <c r="A80" s="1" t="s">
        <v>189</v>
      </c>
      <c r="B80" s="25" t="s">
        <v>312</v>
      </c>
      <c r="C80" s="26"/>
      <c r="D80" s="26"/>
    </row>
    <row r="81" spans="1:5" ht="15" customHeight="1" x14ac:dyDescent="0.3">
      <c r="A81" s="1" t="s">
        <v>211</v>
      </c>
      <c r="B81" s="25" t="s">
        <v>312</v>
      </c>
      <c r="C81" s="26"/>
      <c r="D81" s="26"/>
    </row>
    <row r="83" spans="1:5" ht="27.75" customHeight="1" x14ac:dyDescent="0.3">
      <c r="A83" s="90" t="s">
        <v>313</v>
      </c>
      <c r="B83" s="90"/>
      <c r="C83" s="90"/>
      <c r="D83" s="90"/>
      <c r="E83" s="90"/>
    </row>
    <row r="85" spans="1:5" ht="15" customHeight="1" x14ac:dyDescent="0.3">
      <c r="A85" s="84" t="s">
        <v>314</v>
      </c>
      <c r="B85" s="84"/>
      <c r="C85" s="24"/>
      <c r="D85" s="24"/>
    </row>
    <row r="86" spans="1:5" ht="15" customHeight="1" x14ac:dyDescent="0.3">
      <c r="A86" s="6" t="s">
        <v>315</v>
      </c>
      <c r="B86" s="6" t="s">
        <v>316</v>
      </c>
    </row>
    <row r="87" spans="1:5" ht="15" customHeight="1" x14ac:dyDescent="0.3">
      <c r="A87" s="1" t="s">
        <v>317</v>
      </c>
      <c r="B87" s="8">
        <v>7.0000000000000007E-2</v>
      </c>
    </row>
    <row r="89" spans="1:5" ht="27.75" customHeight="1" x14ac:dyDescent="0.3">
      <c r="A89" s="90" t="s">
        <v>318</v>
      </c>
      <c r="B89" s="90"/>
      <c r="C89" s="90"/>
      <c r="D89" s="90"/>
      <c r="E89" s="90"/>
    </row>
    <row r="91" spans="1:5" s="28" customFormat="1" ht="37.799999999999997" customHeight="1" x14ac:dyDescent="0.3">
      <c r="A91" s="91" t="s">
        <v>319</v>
      </c>
      <c r="B91" s="91"/>
      <c r="C91" s="27"/>
      <c r="D91" s="27"/>
    </row>
    <row r="92" spans="1:5" ht="15" customHeight="1" x14ac:dyDescent="0.3">
      <c r="A92" s="6" t="s">
        <v>40</v>
      </c>
      <c r="B92" s="6" t="s">
        <v>320</v>
      </c>
    </row>
    <row r="93" spans="1:5" ht="15" customHeight="1" x14ac:dyDescent="0.3">
      <c r="A93" s="1" t="s">
        <v>41</v>
      </c>
      <c r="B93" s="17">
        <v>1</v>
      </c>
    </row>
    <row r="94" spans="1:5" ht="15" customHeight="1" x14ac:dyDescent="0.3">
      <c r="A94" s="1" t="s">
        <v>205</v>
      </c>
      <c r="B94" s="17">
        <v>0.75</v>
      </c>
    </row>
    <row r="95" spans="1:5" ht="15" customHeight="1" x14ac:dyDescent="0.3">
      <c r="A95" s="1" t="s">
        <v>254</v>
      </c>
      <c r="B95" s="17">
        <v>0.87</v>
      </c>
    </row>
    <row r="97" spans="1:5" ht="27.75" customHeight="1" x14ac:dyDescent="0.3">
      <c r="A97" s="90" t="s">
        <v>321</v>
      </c>
      <c r="B97" s="90"/>
      <c r="C97" s="90"/>
      <c r="D97" s="90"/>
      <c r="E97" s="90"/>
    </row>
  </sheetData>
  <mergeCells count="19">
    <mergeCell ref="A69:E69"/>
    <mergeCell ref="A71:D71"/>
    <mergeCell ref="A52:E52"/>
    <mergeCell ref="A97:E97"/>
    <mergeCell ref="A83:E83"/>
    <mergeCell ref="A89:E89"/>
    <mergeCell ref="A3:C3"/>
    <mergeCell ref="A12:E12"/>
    <mergeCell ref="A26:E26"/>
    <mergeCell ref="A38:E38"/>
    <mergeCell ref="A40:E40"/>
    <mergeCell ref="A28:E28"/>
    <mergeCell ref="A74:B74"/>
    <mergeCell ref="A85:B85"/>
    <mergeCell ref="A91:B91"/>
    <mergeCell ref="A17:E17"/>
    <mergeCell ref="A19:D19"/>
    <mergeCell ref="A42:B42"/>
    <mergeCell ref="A50:E50"/>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24"/>
  <sheetViews>
    <sheetView topLeftCell="K1" zoomScale="85" zoomScaleNormal="85" workbookViewId="0">
      <pane ySplit="4" topLeftCell="A13" activePane="bottomLeft" state="frozen"/>
      <selection pane="bottomLeft" activeCell="V5" sqref="V4:V5"/>
    </sheetView>
  </sheetViews>
  <sheetFormatPr defaultColWidth="8.77734375" defaultRowHeight="14.4" x14ac:dyDescent="0.3"/>
  <cols>
    <col min="1" max="1" width="7.88671875" customWidth="1"/>
    <col min="2" max="2" width="22.109375" customWidth="1"/>
    <col min="3" max="3" width="18" customWidth="1"/>
    <col min="4" max="4" width="26" customWidth="1"/>
    <col min="5" max="5" width="12" customWidth="1"/>
    <col min="6" max="6" width="16" customWidth="1"/>
    <col min="7" max="7" width="12" customWidth="1"/>
    <col min="8" max="8" width="6" customWidth="1"/>
    <col min="9" max="9" width="22.109375" customWidth="1"/>
    <col min="10" max="10" width="10" customWidth="1"/>
    <col min="11" max="11" width="22.109375" customWidth="1"/>
    <col min="12" max="12" width="10" customWidth="1"/>
    <col min="13" max="13" width="14" customWidth="1"/>
    <col min="14" max="14" width="10" customWidth="1"/>
    <col min="15" max="16" width="14" customWidth="1"/>
    <col min="17" max="17" width="12" customWidth="1"/>
    <col min="18" max="19" width="14" customWidth="1"/>
    <col min="20" max="21" width="22.109375" customWidth="1"/>
    <col min="22" max="22" width="16" customWidth="1"/>
  </cols>
  <sheetData>
    <row r="1" spans="1:22" ht="19.5" customHeight="1" x14ac:dyDescent="0.3">
      <c r="A1" s="94" t="s">
        <v>155</v>
      </c>
      <c r="B1" s="94"/>
      <c r="C1" s="94"/>
      <c r="D1" s="94"/>
      <c r="E1" s="94"/>
      <c r="F1" s="94"/>
      <c r="G1" s="94"/>
      <c r="H1" s="94"/>
      <c r="I1" s="94"/>
      <c r="J1" s="94"/>
      <c r="K1" s="94"/>
      <c r="L1" s="94"/>
      <c r="M1" s="94"/>
      <c r="N1" s="94"/>
      <c r="O1" s="94"/>
      <c r="P1" s="94"/>
      <c r="Q1" s="94"/>
      <c r="R1" s="94"/>
      <c r="S1" s="94"/>
      <c r="T1" s="94"/>
      <c r="U1" s="94"/>
      <c r="V1" s="94"/>
    </row>
    <row r="2" spans="1:22" ht="15" customHeight="1" x14ac:dyDescent="0.3">
      <c r="A2" s="95" t="s">
        <v>156</v>
      </c>
      <c r="B2" s="95"/>
      <c r="C2" s="95"/>
      <c r="D2" s="95"/>
      <c r="E2" s="95"/>
      <c r="F2" s="95"/>
      <c r="G2" s="95"/>
      <c r="H2" s="95"/>
      <c r="I2" s="95"/>
      <c r="J2" s="95"/>
      <c r="K2" s="95"/>
      <c r="L2" s="95"/>
      <c r="M2" s="95"/>
      <c r="N2" s="95"/>
      <c r="O2" s="95"/>
      <c r="P2" s="95"/>
      <c r="Q2" s="95"/>
      <c r="R2" s="95"/>
      <c r="S2" s="95"/>
      <c r="T2" s="95"/>
      <c r="U2" s="95"/>
      <c r="V2" s="95"/>
    </row>
    <row r="4" spans="1:22" ht="30" customHeight="1" x14ac:dyDescent="0.3">
      <c r="A4" s="12" t="s">
        <v>157</v>
      </c>
      <c r="B4" s="12" t="s">
        <v>2</v>
      </c>
      <c r="C4" s="12" t="s">
        <v>34</v>
      </c>
      <c r="D4" s="12" t="s">
        <v>44</v>
      </c>
      <c r="E4" s="12" t="s">
        <v>158</v>
      </c>
      <c r="F4" s="12" t="s">
        <v>159</v>
      </c>
      <c r="G4" s="12" t="s">
        <v>45</v>
      </c>
      <c r="H4" s="12" t="s">
        <v>160</v>
      </c>
      <c r="I4" s="12" t="s">
        <v>161</v>
      </c>
      <c r="J4" s="12" t="s">
        <v>162</v>
      </c>
      <c r="K4" s="12" t="s">
        <v>13</v>
      </c>
      <c r="L4" s="12" t="s">
        <v>15</v>
      </c>
      <c r="M4" s="12" t="s">
        <v>40</v>
      </c>
      <c r="N4" s="12" t="s">
        <v>163</v>
      </c>
      <c r="O4" s="12" t="s">
        <v>164</v>
      </c>
      <c r="P4" s="12" t="s">
        <v>165</v>
      </c>
      <c r="Q4" s="12" t="s">
        <v>166</v>
      </c>
      <c r="R4" s="12" t="s">
        <v>167</v>
      </c>
      <c r="S4" s="12" t="s">
        <v>168</v>
      </c>
      <c r="T4" s="12" t="s">
        <v>169</v>
      </c>
      <c r="U4" s="12" t="s">
        <v>170</v>
      </c>
      <c r="V4" s="12" t="s">
        <v>171</v>
      </c>
    </row>
    <row r="5" spans="1:22" ht="15" customHeight="1" x14ac:dyDescent="0.3">
      <c r="A5" s="13" t="s">
        <v>172</v>
      </c>
      <c r="B5" s="13" t="s">
        <v>3</v>
      </c>
      <c r="C5" s="13" t="s">
        <v>173</v>
      </c>
      <c r="D5" s="13" t="s">
        <v>38</v>
      </c>
      <c r="E5" s="13" t="s">
        <v>174</v>
      </c>
      <c r="F5" s="13" t="s">
        <v>175</v>
      </c>
      <c r="G5" s="13">
        <v>162</v>
      </c>
      <c r="H5" s="13" t="s">
        <v>176</v>
      </c>
      <c r="I5" s="13" t="s">
        <v>10</v>
      </c>
      <c r="J5" s="13" t="s">
        <v>177</v>
      </c>
      <c r="K5" s="13" t="s">
        <v>178</v>
      </c>
      <c r="L5" s="13" t="s">
        <v>179</v>
      </c>
      <c r="M5" s="13" t="s">
        <v>41</v>
      </c>
      <c r="N5" s="14">
        <f>INDEX(Lookup_Tables!$B$14:$E$15,MATCH(K5,Lookup_Tables!$A$14:$A$15,0),MATCH(H5,Lookup_Tables!$B$13:$E$13,0))*IF(I5="Cloud",Lookup_Tables!$B$44,Lookup_Tables!$B$45)*IF(J5="1yr",Lookup_Tables!$B$46,IF(J5="2yr",Lookup_Tables!$B$47,Lookup_Tables!$B$48))</f>
        <v>16800</v>
      </c>
      <c r="O5" s="15">
        <v>0.222</v>
      </c>
      <c r="P5" s="14">
        <f t="shared" ref="P5:P22" si="0">N5*(1-O5)</f>
        <v>13070.4</v>
      </c>
      <c r="Q5" s="14">
        <f t="shared" ref="Q5:Q22" si="1">P5/G5</f>
        <v>80.681481481481484</v>
      </c>
      <c r="R5" s="14">
        <f>INDEX(Lookup_Tables!$B$54:$E$66,MATCH(IF(I5="Cloud","Core Platform — Cloud","Core Platform — On-Prem"),Lookup_Tables!$A$54:$A$66,0),MATCH(H5,Lookup_Tables!$B$13:$E$13,0))</f>
        <v>8000</v>
      </c>
      <c r="S5" s="14">
        <f t="shared" ref="S5:S22" si="2">P5*VALUE(LEFT(J5,1))+R5</f>
        <v>21070.400000000001</v>
      </c>
      <c r="T5" s="13" t="s">
        <v>180</v>
      </c>
      <c r="U5" s="13" t="s">
        <v>181</v>
      </c>
      <c r="V5" s="13" t="s">
        <v>182</v>
      </c>
    </row>
    <row r="6" spans="1:22" ht="15" customHeight="1" x14ac:dyDescent="0.3">
      <c r="A6" s="13" t="s">
        <v>183</v>
      </c>
      <c r="B6" s="13" t="s">
        <v>184</v>
      </c>
      <c r="C6" s="13" t="s">
        <v>185</v>
      </c>
      <c r="D6" s="13" t="s">
        <v>186</v>
      </c>
      <c r="E6" s="13" t="s">
        <v>187</v>
      </c>
      <c r="F6" s="13" t="s">
        <v>188</v>
      </c>
      <c r="G6" s="13">
        <v>197</v>
      </c>
      <c r="H6" s="13" t="s">
        <v>176</v>
      </c>
      <c r="I6" s="13" t="s">
        <v>79</v>
      </c>
      <c r="J6" s="13" t="s">
        <v>177</v>
      </c>
      <c r="K6" s="13" t="s">
        <v>178</v>
      </c>
      <c r="L6" s="13" t="s">
        <v>189</v>
      </c>
      <c r="M6" s="13" t="s">
        <v>41</v>
      </c>
      <c r="N6" s="14">
        <f>INDEX(Lookup_Tables!$B$14:$E$15,MATCH(K6,Lookup_Tables!$A$14:$A$15,0),MATCH(H6,Lookup_Tables!$B$13:$E$13,0))*IF(I6="Cloud",Lookup_Tables!$B$44,Lookup_Tables!$B$45)*IF(J6="1yr",Lookup_Tables!$B$46,IF(J6="2yr",Lookup_Tables!$B$47,Lookup_Tables!$B$48))</f>
        <v>14000</v>
      </c>
      <c r="O6" s="15">
        <v>0.19500000000000001</v>
      </c>
      <c r="P6" s="14">
        <f t="shared" si="0"/>
        <v>11270</v>
      </c>
      <c r="Q6" s="14">
        <f t="shared" si="1"/>
        <v>57.208121827411169</v>
      </c>
      <c r="R6" s="14">
        <f>INDEX(Lookup_Tables!$B$54:$E$66,MATCH(IF(I6="Cloud","Core Platform — Cloud","Core Platform — On-Prem"),Lookup_Tables!$A$54:$A$66,0),MATCH(H6,Lookup_Tables!$B$13:$E$13,0))</f>
        <v>12000</v>
      </c>
      <c r="S6" s="14">
        <f t="shared" si="2"/>
        <v>23270</v>
      </c>
      <c r="T6" s="13" t="s">
        <v>190</v>
      </c>
      <c r="U6" s="13" t="s">
        <v>190</v>
      </c>
      <c r="V6" s="13" t="s">
        <v>182</v>
      </c>
    </row>
    <row r="7" spans="1:22" ht="15" customHeight="1" x14ac:dyDescent="0.3">
      <c r="A7" s="13" t="s">
        <v>191</v>
      </c>
      <c r="B7" s="13" t="s">
        <v>192</v>
      </c>
      <c r="C7" s="13" t="s">
        <v>193</v>
      </c>
      <c r="D7" s="13" t="s">
        <v>38</v>
      </c>
      <c r="E7" s="13" t="s">
        <v>187</v>
      </c>
      <c r="F7" s="13" t="s">
        <v>194</v>
      </c>
      <c r="G7" s="13">
        <v>2753</v>
      </c>
      <c r="H7" s="13" t="s">
        <v>195</v>
      </c>
      <c r="I7" s="13" t="s">
        <v>79</v>
      </c>
      <c r="J7" s="13" t="s">
        <v>196</v>
      </c>
      <c r="K7" s="13" t="s">
        <v>14</v>
      </c>
      <c r="L7" s="13" t="s">
        <v>197</v>
      </c>
      <c r="M7" s="13" t="s">
        <v>41</v>
      </c>
      <c r="N7" s="14">
        <f>INDEX(Lookup_Tables!$B$14:$E$15,MATCH(K7,Lookup_Tables!$A$14:$A$15,0),MATCH(H7,Lookup_Tables!$B$13:$E$13,0))*IF(I7="Cloud",Lookup_Tables!$B$44,Lookup_Tables!$B$45)*IF(J7="1yr",Lookup_Tables!$B$46,IF(J7="2yr",Lookup_Tables!$B$47,Lookup_Tables!$B$48))</f>
        <v>95000</v>
      </c>
      <c r="O7" s="15">
        <v>6.5000000000000002E-2</v>
      </c>
      <c r="P7" s="14">
        <f t="shared" si="0"/>
        <v>88825</v>
      </c>
      <c r="Q7" s="14">
        <f t="shared" si="1"/>
        <v>32.264802034144573</v>
      </c>
      <c r="R7" s="14">
        <f>INDEX(Lookup_Tables!$B$54:$E$66,MATCH(IF(I7="Cloud","Core Platform — Cloud","Core Platform — On-Prem"),Lookup_Tables!$A$54:$A$66,0),MATCH(H7,Lookup_Tables!$B$13:$E$13,0))</f>
        <v>50000</v>
      </c>
      <c r="S7" s="14">
        <f t="shared" si="2"/>
        <v>316475</v>
      </c>
      <c r="T7" s="13" t="s">
        <v>190</v>
      </c>
      <c r="U7" s="13" t="s">
        <v>190</v>
      </c>
      <c r="V7" s="13" t="s">
        <v>198</v>
      </c>
    </row>
    <row r="8" spans="1:22" ht="15" customHeight="1" x14ac:dyDescent="0.3">
      <c r="A8" s="13" t="s">
        <v>199</v>
      </c>
      <c r="B8" s="13" t="s">
        <v>200</v>
      </c>
      <c r="C8" s="13" t="s">
        <v>201</v>
      </c>
      <c r="D8" s="13" t="s">
        <v>202</v>
      </c>
      <c r="E8" s="13" t="s">
        <v>187</v>
      </c>
      <c r="F8" s="13" t="s">
        <v>203</v>
      </c>
      <c r="G8" s="13">
        <v>12084</v>
      </c>
      <c r="H8" s="13" t="s">
        <v>204</v>
      </c>
      <c r="I8" s="13" t="s">
        <v>10</v>
      </c>
      <c r="J8" s="13" t="s">
        <v>12</v>
      </c>
      <c r="K8" s="13" t="s">
        <v>14</v>
      </c>
      <c r="L8" s="13" t="s">
        <v>16</v>
      </c>
      <c r="M8" s="13" t="s">
        <v>205</v>
      </c>
      <c r="N8" s="14">
        <f>INDEX(Lookup_Tables!$B$14:$E$15,MATCH(K8,Lookup_Tables!$A$14:$A$15,0),MATCH(H8,Lookup_Tables!$B$13:$E$13,0))*IF(I8="Cloud",Lookup_Tables!$B$44,Lookup_Tables!$B$45)*IF(J8="1yr",Lookup_Tables!$B$46,IF(J8="2yr",Lookup_Tables!$B$47,Lookup_Tables!$B$48))</f>
        <v>221160</v>
      </c>
      <c r="O8" s="15">
        <v>3.6999999999999998E-2</v>
      </c>
      <c r="P8" s="14">
        <f t="shared" si="0"/>
        <v>212977.08</v>
      </c>
      <c r="Q8" s="14">
        <f t="shared" si="1"/>
        <v>17.624716981132075</v>
      </c>
      <c r="R8" s="14">
        <f>INDEX(Lookup_Tables!$B$54:$E$66,MATCH(IF(I8="Cloud","Core Platform — Cloud","Core Platform — On-Prem"),Lookup_Tables!$A$54:$A$66,0),MATCH(H8,Lookup_Tables!$B$13:$E$13,0))</f>
        <v>50000</v>
      </c>
      <c r="S8" s="14">
        <f t="shared" si="2"/>
        <v>475954.16</v>
      </c>
      <c r="T8" s="13" t="s">
        <v>190</v>
      </c>
      <c r="U8" s="13" t="s">
        <v>190</v>
      </c>
      <c r="V8" s="13" t="s">
        <v>182</v>
      </c>
    </row>
    <row r="9" spans="1:22" ht="15" customHeight="1" x14ac:dyDescent="0.3">
      <c r="A9" s="13" t="s">
        <v>206</v>
      </c>
      <c r="B9" s="13" t="s">
        <v>207</v>
      </c>
      <c r="C9" s="13" t="s">
        <v>208</v>
      </c>
      <c r="D9" s="13" t="s">
        <v>209</v>
      </c>
      <c r="E9" s="13" t="s">
        <v>187</v>
      </c>
      <c r="F9" s="13" t="s">
        <v>210</v>
      </c>
      <c r="G9" s="13">
        <v>7849</v>
      </c>
      <c r="H9" s="13" t="s">
        <v>195</v>
      </c>
      <c r="I9" s="13" t="s">
        <v>10</v>
      </c>
      <c r="J9" s="13" t="s">
        <v>196</v>
      </c>
      <c r="K9" s="13" t="s">
        <v>178</v>
      </c>
      <c r="L9" s="13" t="s">
        <v>211</v>
      </c>
      <c r="M9" s="13" t="s">
        <v>41</v>
      </c>
      <c r="N9" s="14">
        <f>INDEX(Lookup_Tables!$B$14:$E$15,MATCH(K9,Lookup_Tables!$A$14:$A$15,0),MATCH(H9,Lookup_Tables!$B$13:$E$13,0))*IF(I9="Cloud",Lookup_Tables!$B$44,Lookup_Tables!$B$45)*IF(J9="1yr",Lookup_Tables!$B$46,IF(J9="2yr",Lookup_Tables!$B$47,Lookup_Tables!$B$48))</f>
        <v>77520</v>
      </c>
      <c r="O9" s="15">
        <v>0.19800000000000001</v>
      </c>
      <c r="P9" s="14">
        <f t="shared" si="0"/>
        <v>62171.040000000001</v>
      </c>
      <c r="Q9" s="14">
        <f t="shared" si="1"/>
        <v>7.9208867371639702</v>
      </c>
      <c r="R9" s="14">
        <f>INDEX(Lookup_Tables!$B$54:$E$66,MATCH(IF(I9="Cloud","Core Platform — Cloud","Core Platform — On-Prem"),Lookup_Tables!$A$54:$A$66,0),MATCH(H9,Lookup_Tables!$B$13:$E$13,0))</f>
        <v>30000</v>
      </c>
      <c r="S9" s="14">
        <f t="shared" si="2"/>
        <v>216513.12</v>
      </c>
      <c r="T9" s="13" t="s">
        <v>190</v>
      </c>
      <c r="U9" s="13" t="s">
        <v>190</v>
      </c>
      <c r="V9" s="13" t="s">
        <v>198</v>
      </c>
    </row>
    <row r="10" spans="1:22" ht="15" customHeight="1" x14ac:dyDescent="0.3">
      <c r="A10" s="13" t="s">
        <v>212</v>
      </c>
      <c r="B10" s="13" t="s">
        <v>213</v>
      </c>
      <c r="C10" s="13" t="s">
        <v>208</v>
      </c>
      <c r="D10" s="13" t="s">
        <v>202</v>
      </c>
      <c r="E10" s="13" t="s">
        <v>174</v>
      </c>
      <c r="F10" s="13" t="s">
        <v>214</v>
      </c>
      <c r="G10" s="13">
        <v>344</v>
      </c>
      <c r="H10" s="13" t="s">
        <v>176</v>
      </c>
      <c r="I10" s="13" t="s">
        <v>10</v>
      </c>
      <c r="J10" s="13" t="s">
        <v>12</v>
      </c>
      <c r="K10" s="13" t="s">
        <v>14</v>
      </c>
      <c r="L10" s="13" t="s">
        <v>179</v>
      </c>
      <c r="M10" s="13" t="s">
        <v>41</v>
      </c>
      <c r="N10" s="14">
        <f>INDEX(Lookup_Tables!$B$14:$E$15,MATCH(K10,Lookup_Tables!$A$14:$A$15,0),MATCH(H10,Lookup_Tables!$B$13:$E$13,0))*IF(I10="Cloud",Lookup_Tables!$B$44,Lookup_Tables!$B$45)*IF(J10="1yr",Lookup_Tables!$B$46,IF(J10="2yr",Lookup_Tables!$B$47,Lookup_Tables!$B$48))</f>
        <v>23280</v>
      </c>
      <c r="O10" s="15">
        <v>6.3E-2</v>
      </c>
      <c r="P10" s="14">
        <f t="shared" si="0"/>
        <v>21813.360000000001</v>
      </c>
      <c r="Q10" s="14">
        <f t="shared" si="1"/>
        <v>63.410930232558144</v>
      </c>
      <c r="R10" s="14">
        <f>INDEX(Lookup_Tables!$B$54:$E$66,MATCH(IF(I10="Cloud","Core Platform — Cloud","Core Platform — On-Prem"),Lookup_Tables!$A$54:$A$66,0),MATCH(H10,Lookup_Tables!$B$13:$E$13,0))</f>
        <v>8000</v>
      </c>
      <c r="S10" s="14">
        <f t="shared" si="2"/>
        <v>51626.720000000001</v>
      </c>
      <c r="T10" s="13" t="s">
        <v>190</v>
      </c>
      <c r="U10" s="13" t="s">
        <v>190</v>
      </c>
      <c r="V10" s="13" t="s">
        <v>198</v>
      </c>
    </row>
    <row r="11" spans="1:22" ht="15" customHeight="1" x14ac:dyDescent="0.3">
      <c r="A11" s="13" t="s">
        <v>215</v>
      </c>
      <c r="B11" s="13" t="s">
        <v>216</v>
      </c>
      <c r="C11" s="13" t="s">
        <v>217</v>
      </c>
      <c r="D11" s="13" t="s">
        <v>38</v>
      </c>
      <c r="E11" s="13" t="s">
        <v>187</v>
      </c>
      <c r="F11" s="13" t="s">
        <v>218</v>
      </c>
      <c r="G11" s="13">
        <v>1693</v>
      </c>
      <c r="H11" s="13" t="s">
        <v>219</v>
      </c>
      <c r="I11" s="13" t="s">
        <v>79</v>
      </c>
      <c r="J11" s="13" t="s">
        <v>177</v>
      </c>
      <c r="K11" s="13" t="s">
        <v>14</v>
      </c>
      <c r="L11" s="13" t="s">
        <v>220</v>
      </c>
      <c r="M11" s="13" t="s">
        <v>41</v>
      </c>
      <c r="N11" s="14">
        <f>INDEX(Lookup_Tables!$B$14:$E$15,MATCH(K11,Lookup_Tables!$A$14:$A$15,0),MATCH(H11,Lookup_Tables!$B$13:$E$13,0))*IF(I11="Cloud",Lookup_Tables!$B$44,Lookup_Tables!$B$45)*IF(J11="1yr",Lookup_Tables!$B$46,IF(J11="2yr",Lookup_Tables!$B$47,Lookup_Tables!$B$48))</f>
        <v>48000</v>
      </c>
      <c r="O11" s="15">
        <v>0.20599999999999999</v>
      </c>
      <c r="P11" s="14">
        <f t="shared" si="0"/>
        <v>38112</v>
      </c>
      <c r="Q11" s="14">
        <f t="shared" si="1"/>
        <v>22.511518015357353</v>
      </c>
      <c r="R11" s="14">
        <f>INDEX(Lookup_Tables!$B$54:$E$66,MATCH(IF(I11="Cloud","Core Platform — Cloud","Core Platform — On-Prem"),Lookup_Tables!$A$54:$A$66,0),MATCH(H11,Lookup_Tables!$B$13:$E$13,0))</f>
        <v>25000</v>
      </c>
      <c r="S11" s="14">
        <f t="shared" si="2"/>
        <v>63112</v>
      </c>
      <c r="T11" s="13" t="s">
        <v>190</v>
      </c>
      <c r="U11" s="13" t="s">
        <v>190</v>
      </c>
      <c r="V11" s="13" t="s">
        <v>182</v>
      </c>
    </row>
    <row r="12" spans="1:22" ht="15" customHeight="1" x14ac:dyDescent="0.3">
      <c r="A12" s="13" t="s">
        <v>221</v>
      </c>
      <c r="B12" s="13" t="s">
        <v>222</v>
      </c>
      <c r="C12" s="13" t="s">
        <v>223</v>
      </c>
      <c r="D12" s="13" t="s">
        <v>224</v>
      </c>
      <c r="E12" s="13" t="s">
        <v>187</v>
      </c>
      <c r="F12" s="13" t="s">
        <v>225</v>
      </c>
      <c r="G12" s="13">
        <v>2283</v>
      </c>
      <c r="H12" s="13" t="s">
        <v>219</v>
      </c>
      <c r="I12" s="13" t="s">
        <v>79</v>
      </c>
      <c r="J12" s="13" t="s">
        <v>12</v>
      </c>
      <c r="K12" s="13" t="s">
        <v>14</v>
      </c>
      <c r="L12" s="13" t="s">
        <v>197</v>
      </c>
      <c r="M12" s="13" t="s">
        <v>41</v>
      </c>
      <c r="N12" s="14">
        <f>INDEX(Lookup_Tables!$B$14:$E$15,MATCH(K12,Lookup_Tables!$A$14:$A$15,0),MATCH(H12,Lookup_Tables!$B$13:$E$13,0))*IF(I12="Cloud",Lookup_Tables!$B$44,Lookup_Tables!$B$45)*IF(J12="1yr",Lookup_Tables!$B$46,IF(J12="2yr",Lookup_Tables!$B$47,Lookup_Tables!$B$48))</f>
        <v>46560</v>
      </c>
      <c r="O12" s="15">
        <v>0.27400000000000002</v>
      </c>
      <c r="P12" s="14">
        <f t="shared" si="0"/>
        <v>33802.559999999998</v>
      </c>
      <c r="Q12" s="14">
        <f t="shared" si="1"/>
        <v>14.806202365308803</v>
      </c>
      <c r="R12" s="14">
        <f>INDEX(Lookup_Tables!$B$54:$E$66,MATCH(IF(I12="Cloud","Core Platform — Cloud","Core Platform — On-Prem"),Lookup_Tables!$A$54:$A$66,0),MATCH(H12,Lookup_Tables!$B$13:$E$13,0))</f>
        <v>25000</v>
      </c>
      <c r="S12" s="14">
        <f t="shared" si="2"/>
        <v>92605.119999999995</v>
      </c>
      <c r="T12" s="13" t="s">
        <v>190</v>
      </c>
      <c r="U12" s="13" t="s">
        <v>190</v>
      </c>
      <c r="V12" s="13" t="s">
        <v>198</v>
      </c>
    </row>
    <row r="13" spans="1:22" ht="15" customHeight="1" x14ac:dyDescent="0.3">
      <c r="A13" s="13" t="s">
        <v>226</v>
      </c>
      <c r="B13" s="13" t="s">
        <v>227</v>
      </c>
      <c r="C13" s="13" t="s">
        <v>228</v>
      </c>
      <c r="D13" s="13" t="s">
        <v>202</v>
      </c>
      <c r="E13" s="13" t="s">
        <v>187</v>
      </c>
      <c r="F13" s="13" t="s">
        <v>229</v>
      </c>
      <c r="G13" s="13">
        <v>16982</v>
      </c>
      <c r="H13" s="13" t="s">
        <v>204</v>
      </c>
      <c r="I13" s="13" t="s">
        <v>10</v>
      </c>
      <c r="J13" s="13" t="s">
        <v>177</v>
      </c>
      <c r="K13" s="13" t="s">
        <v>14</v>
      </c>
      <c r="L13" s="13" t="s">
        <v>179</v>
      </c>
      <c r="M13" s="13" t="s">
        <v>41</v>
      </c>
      <c r="N13" s="14">
        <f>INDEX(Lookup_Tables!$B$14:$E$15,MATCH(K13,Lookup_Tables!$A$14:$A$15,0),MATCH(H13,Lookup_Tables!$B$13:$E$13,0))*IF(I13="Cloud",Lookup_Tables!$B$44,Lookup_Tables!$B$45)*IF(J13="1yr",Lookup_Tables!$B$46,IF(J13="2yr",Lookup_Tables!$B$47,Lookup_Tables!$B$48))</f>
        <v>228000</v>
      </c>
      <c r="O13" s="15">
        <v>0.16800000000000001</v>
      </c>
      <c r="P13" s="14">
        <f t="shared" si="0"/>
        <v>189696</v>
      </c>
      <c r="Q13" s="14">
        <f t="shared" si="1"/>
        <v>11.170415734306912</v>
      </c>
      <c r="R13" s="14">
        <f>INDEX(Lookup_Tables!$B$54:$E$66,MATCH(IF(I13="Cloud","Core Platform — Cloud","Core Platform — On-Prem"),Lookup_Tables!$A$54:$A$66,0),MATCH(H13,Lookup_Tables!$B$13:$E$13,0))</f>
        <v>50000</v>
      </c>
      <c r="S13" s="14">
        <f t="shared" si="2"/>
        <v>239696</v>
      </c>
      <c r="T13" s="13" t="s">
        <v>190</v>
      </c>
      <c r="U13" s="13" t="s">
        <v>190</v>
      </c>
      <c r="V13" s="13" t="s">
        <v>182</v>
      </c>
    </row>
    <row r="14" spans="1:22" ht="15" customHeight="1" x14ac:dyDescent="0.3">
      <c r="A14" s="13" t="s">
        <v>230</v>
      </c>
      <c r="B14" s="13" t="s">
        <v>231</v>
      </c>
      <c r="C14" s="13" t="s">
        <v>232</v>
      </c>
      <c r="D14" s="13" t="s">
        <v>202</v>
      </c>
      <c r="E14" s="13" t="s">
        <v>187</v>
      </c>
      <c r="F14" s="13" t="s">
        <v>233</v>
      </c>
      <c r="G14" s="13">
        <v>16430</v>
      </c>
      <c r="H14" s="13" t="s">
        <v>204</v>
      </c>
      <c r="I14" s="13" t="s">
        <v>79</v>
      </c>
      <c r="J14" s="13" t="s">
        <v>177</v>
      </c>
      <c r="K14" s="13" t="s">
        <v>14</v>
      </c>
      <c r="L14" s="13" t="s">
        <v>16</v>
      </c>
      <c r="M14" s="13" t="s">
        <v>41</v>
      </c>
      <c r="N14" s="14">
        <f>INDEX(Lookup_Tables!$B$14:$E$15,MATCH(K14,Lookup_Tables!$A$14:$A$15,0),MATCH(H14,Lookup_Tables!$B$13:$E$13,0))*IF(I14="Cloud",Lookup_Tables!$B$44,Lookup_Tables!$B$45)*IF(J14="1yr",Lookup_Tables!$B$46,IF(J14="2yr",Lookup_Tables!$B$47,Lookup_Tables!$B$48))</f>
        <v>190000</v>
      </c>
      <c r="O14" s="15">
        <v>4.5999999999999999E-2</v>
      </c>
      <c r="P14" s="14">
        <f t="shared" si="0"/>
        <v>181260</v>
      </c>
      <c r="Q14" s="14">
        <f t="shared" si="1"/>
        <v>11.03225806451613</v>
      </c>
      <c r="R14" s="14">
        <f>INDEX(Lookup_Tables!$B$54:$E$66,MATCH(IF(I14="Cloud","Core Platform — Cloud","Core Platform — On-Prem"),Lookup_Tables!$A$54:$A$66,0),MATCH(H14,Lookup_Tables!$B$13:$E$13,0))</f>
        <v>85000</v>
      </c>
      <c r="S14" s="14">
        <f t="shared" si="2"/>
        <v>266260</v>
      </c>
      <c r="T14" s="13" t="s">
        <v>190</v>
      </c>
      <c r="U14" s="13" t="s">
        <v>190</v>
      </c>
      <c r="V14" s="13" t="s">
        <v>198</v>
      </c>
    </row>
    <row r="15" spans="1:22" ht="15" customHeight="1" x14ac:dyDescent="0.3">
      <c r="A15" s="13" t="s">
        <v>234</v>
      </c>
      <c r="B15" s="13" t="s">
        <v>235</v>
      </c>
      <c r="C15" s="13" t="s">
        <v>236</v>
      </c>
      <c r="D15" s="13" t="s">
        <v>224</v>
      </c>
      <c r="E15" s="13" t="s">
        <v>174</v>
      </c>
      <c r="F15" s="13" t="s">
        <v>237</v>
      </c>
      <c r="G15" s="13">
        <v>347</v>
      </c>
      <c r="H15" s="13" t="s">
        <v>176</v>
      </c>
      <c r="I15" s="13" t="s">
        <v>10</v>
      </c>
      <c r="J15" s="13" t="s">
        <v>196</v>
      </c>
      <c r="K15" s="13" t="s">
        <v>14</v>
      </c>
      <c r="L15" s="13" t="s">
        <v>189</v>
      </c>
      <c r="M15" s="13" t="s">
        <v>41</v>
      </c>
      <c r="N15" s="14">
        <f>INDEX(Lookup_Tables!$B$14:$E$15,MATCH(K15,Lookup_Tables!$A$14:$A$15,0),MATCH(H15,Lookup_Tables!$B$13:$E$13,0))*IF(I15="Cloud",Lookup_Tables!$B$44,Lookup_Tables!$B$45)*IF(J15="1yr",Lookup_Tables!$B$46,IF(J15="2yr",Lookup_Tables!$B$47,Lookup_Tables!$B$48))</f>
        <v>22800</v>
      </c>
      <c r="O15" s="15">
        <v>0.25800000000000001</v>
      </c>
      <c r="P15" s="14">
        <f t="shared" si="0"/>
        <v>16917.599999999999</v>
      </c>
      <c r="Q15" s="14">
        <f t="shared" si="1"/>
        <v>48.753890489913537</v>
      </c>
      <c r="R15" s="14">
        <f>INDEX(Lookup_Tables!$B$54:$E$66,MATCH(IF(I15="Cloud","Core Platform — Cloud","Core Platform — On-Prem"),Lookup_Tables!$A$54:$A$66,0),MATCH(H15,Lookup_Tables!$B$13:$E$13,0))</f>
        <v>8000</v>
      </c>
      <c r="S15" s="14">
        <f t="shared" si="2"/>
        <v>58752.799999999996</v>
      </c>
      <c r="T15" s="13" t="s">
        <v>180</v>
      </c>
      <c r="U15" s="13" t="s">
        <v>190</v>
      </c>
      <c r="V15" s="13" t="s">
        <v>182</v>
      </c>
    </row>
    <row r="16" spans="1:22" ht="15" customHeight="1" x14ac:dyDescent="0.3">
      <c r="A16" s="13" t="s">
        <v>238</v>
      </c>
      <c r="B16" s="13" t="s">
        <v>239</v>
      </c>
      <c r="C16" s="13" t="s">
        <v>240</v>
      </c>
      <c r="D16" s="13" t="s">
        <v>202</v>
      </c>
      <c r="E16" s="13" t="s">
        <v>187</v>
      </c>
      <c r="F16" s="13" t="s">
        <v>241</v>
      </c>
      <c r="G16" s="13">
        <v>8996</v>
      </c>
      <c r="H16" s="13" t="s">
        <v>195</v>
      </c>
      <c r="I16" s="13" t="s">
        <v>10</v>
      </c>
      <c r="J16" s="13" t="s">
        <v>177</v>
      </c>
      <c r="K16" s="13" t="s">
        <v>14</v>
      </c>
      <c r="L16" s="13" t="s">
        <v>220</v>
      </c>
      <c r="M16" s="13" t="s">
        <v>41</v>
      </c>
      <c r="N16" s="14">
        <f>INDEX(Lookup_Tables!$B$14:$E$15,MATCH(K16,Lookup_Tables!$A$14:$A$15,0),MATCH(H16,Lookup_Tables!$B$13:$E$13,0))*IF(I16="Cloud",Lookup_Tables!$B$44,Lookup_Tables!$B$45)*IF(J16="1yr",Lookup_Tables!$B$46,IF(J16="2yr",Lookup_Tables!$B$47,Lookup_Tables!$B$48))</f>
        <v>120000</v>
      </c>
      <c r="O16" s="15">
        <v>1E-3</v>
      </c>
      <c r="P16" s="14">
        <f t="shared" si="0"/>
        <v>119880</v>
      </c>
      <c r="Q16" s="14">
        <f t="shared" si="1"/>
        <v>13.325922632281014</v>
      </c>
      <c r="R16" s="14">
        <f>INDEX(Lookup_Tables!$B$54:$E$66,MATCH(IF(I16="Cloud","Core Platform — Cloud","Core Platform — On-Prem"),Lookup_Tables!$A$54:$A$66,0),MATCH(H16,Lookup_Tables!$B$13:$E$13,0))</f>
        <v>30000</v>
      </c>
      <c r="S16" s="14">
        <f t="shared" si="2"/>
        <v>149880</v>
      </c>
      <c r="T16" s="13" t="s">
        <v>190</v>
      </c>
      <c r="U16" s="13" t="s">
        <v>190</v>
      </c>
      <c r="V16" s="13" t="s">
        <v>198</v>
      </c>
    </row>
    <row r="17" spans="1:22" ht="15" customHeight="1" x14ac:dyDescent="0.3">
      <c r="A17" s="13" t="s">
        <v>242</v>
      </c>
      <c r="B17" s="13" t="s">
        <v>243</v>
      </c>
      <c r="C17" s="13" t="s">
        <v>244</v>
      </c>
      <c r="D17" s="13" t="s">
        <v>186</v>
      </c>
      <c r="E17" s="13" t="s">
        <v>187</v>
      </c>
      <c r="F17" s="13" t="s">
        <v>245</v>
      </c>
      <c r="G17" s="13">
        <v>470</v>
      </c>
      <c r="H17" s="13" t="s">
        <v>176</v>
      </c>
      <c r="I17" s="13" t="s">
        <v>10</v>
      </c>
      <c r="J17" s="13" t="s">
        <v>196</v>
      </c>
      <c r="K17" s="13" t="s">
        <v>178</v>
      </c>
      <c r="L17" s="13" t="s">
        <v>179</v>
      </c>
      <c r="M17" s="13" t="s">
        <v>41</v>
      </c>
      <c r="N17" s="14">
        <f>INDEX(Lookup_Tables!$B$14:$E$15,MATCH(K17,Lookup_Tables!$A$14:$A$15,0),MATCH(H17,Lookup_Tables!$B$13:$E$13,0))*IF(I17="Cloud",Lookup_Tables!$B$44,Lookup_Tables!$B$45)*IF(J17="1yr",Lookup_Tables!$B$46,IF(J17="2yr",Lookup_Tables!$B$47,Lookup_Tables!$B$48))</f>
        <v>15960</v>
      </c>
      <c r="O17" s="15">
        <v>0.16200000000000001</v>
      </c>
      <c r="P17" s="14">
        <f t="shared" si="0"/>
        <v>13374.48</v>
      </c>
      <c r="Q17" s="14">
        <f t="shared" si="1"/>
        <v>28.456340425531913</v>
      </c>
      <c r="R17" s="14">
        <f>INDEX(Lookup_Tables!$B$54:$E$66,MATCH(IF(I17="Cloud","Core Platform — Cloud","Core Platform — On-Prem"),Lookup_Tables!$A$54:$A$66,0),MATCH(H17,Lookup_Tables!$B$13:$E$13,0))</f>
        <v>8000</v>
      </c>
      <c r="S17" s="14">
        <f t="shared" si="2"/>
        <v>48123.44</v>
      </c>
      <c r="T17" s="13" t="s">
        <v>190</v>
      </c>
      <c r="U17" s="13" t="s">
        <v>190</v>
      </c>
      <c r="V17" s="13" t="s">
        <v>198</v>
      </c>
    </row>
    <row r="18" spans="1:22" ht="15" customHeight="1" x14ac:dyDescent="0.3">
      <c r="A18" s="13" t="s">
        <v>246</v>
      </c>
      <c r="B18" s="13" t="s">
        <v>247</v>
      </c>
      <c r="C18" s="13" t="s">
        <v>248</v>
      </c>
      <c r="D18" s="13" t="s">
        <v>38</v>
      </c>
      <c r="E18" s="13" t="s">
        <v>187</v>
      </c>
      <c r="F18" s="13" t="s">
        <v>249</v>
      </c>
      <c r="G18" s="13">
        <v>207</v>
      </c>
      <c r="H18" s="13" t="s">
        <v>176</v>
      </c>
      <c r="I18" s="13" t="s">
        <v>10</v>
      </c>
      <c r="J18" s="13" t="s">
        <v>12</v>
      </c>
      <c r="K18" s="13" t="s">
        <v>178</v>
      </c>
      <c r="L18" s="13" t="s">
        <v>16</v>
      </c>
      <c r="M18" s="13" t="s">
        <v>41</v>
      </c>
      <c r="N18" s="14">
        <f>INDEX(Lookup_Tables!$B$14:$E$15,MATCH(K18,Lookup_Tables!$A$14:$A$15,0),MATCH(H18,Lookup_Tables!$B$13:$E$13,0))*IF(I18="Cloud",Lookup_Tables!$B$44,Lookup_Tables!$B$45)*IF(J18="1yr",Lookup_Tables!$B$46,IF(J18="2yr",Lookup_Tables!$B$47,Lookup_Tables!$B$48))</f>
        <v>16296</v>
      </c>
      <c r="O18" s="15">
        <v>0.28399999999999997</v>
      </c>
      <c r="P18" s="14">
        <f t="shared" si="0"/>
        <v>11667.936</v>
      </c>
      <c r="Q18" s="14">
        <f t="shared" si="1"/>
        <v>56.366840579710143</v>
      </c>
      <c r="R18" s="14">
        <f>INDEX(Lookup_Tables!$B$54:$E$66,MATCH(IF(I18="Cloud","Core Platform — Cloud","Core Platform — On-Prem"),Lookup_Tables!$A$54:$A$66,0),MATCH(H18,Lookup_Tables!$B$13:$E$13,0))</f>
        <v>8000</v>
      </c>
      <c r="S18" s="14">
        <f t="shared" si="2"/>
        <v>31335.871999999999</v>
      </c>
      <c r="T18" s="13" t="s">
        <v>190</v>
      </c>
      <c r="U18" s="13" t="s">
        <v>190</v>
      </c>
      <c r="V18" s="13" t="s">
        <v>182</v>
      </c>
    </row>
    <row r="19" spans="1:22" ht="15" customHeight="1" x14ac:dyDescent="0.3">
      <c r="A19" s="13" t="s">
        <v>250</v>
      </c>
      <c r="B19" s="13" t="s">
        <v>251</v>
      </c>
      <c r="C19" s="13" t="s">
        <v>252</v>
      </c>
      <c r="D19" s="13" t="s">
        <v>224</v>
      </c>
      <c r="E19" s="13" t="s">
        <v>187</v>
      </c>
      <c r="F19" s="13" t="s">
        <v>253</v>
      </c>
      <c r="G19" s="13">
        <v>862</v>
      </c>
      <c r="H19" s="13" t="s">
        <v>219</v>
      </c>
      <c r="I19" s="13" t="s">
        <v>10</v>
      </c>
      <c r="J19" s="13" t="s">
        <v>196</v>
      </c>
      <c r="K19" s="13" t="s">
        <v>178</v>
      </c>
      <c r="L19" s="13" t="s">
        <v>197</v>
      </c>
      <c r="M19" s="13" t="s">
        <v>254</v>
      </c>
      <c r="N19" s="14">
        <f>INDEX(Lookup_Tables!$B$14:$E$15,MATCH(K19,Lookup_Tables!$A$14:$A$15,0),MATCH(H19,Lookup_Tables!$B$13:$E$13,0))*IF(I19="Cloud",Lookup_Tables!$B$44,Lookup_Tables!$B$45)*IF(J19="1yr",Lookup_Tables!$B$46,IF(J19="2yr",Lookup_Tables!$B$47,Lookup_Tables!$B$48))</f>
        <v>36480</v>
      </c>
      <c r="O19" s="15">
        <v>0.127</v>
      </c>
      <c r="P19" s="14">
        <f t="shared" si="0"/>
        <v>31847.040000000001</v>
      </c>
      <c r="Q19" s="14">
        <f t="shared" si="1"/>
        <v>36.94552204176334</v>
      </c>
      <c r="R19" s="14">
        <f>INDEX(Lookup_Tables!$B$54:$E$66,MATCH(IF(I19="Cloud","Core Platform — Cloud","Core Platform — On-Prem"),Lookup_Tables!$A$54:$A$66,0),MATCH(H19,Lookup_Tables!$B$13:$E$13,0))</f>
        <v>15000</v>
      </c>
      <c r="S19" s="14">
        <f t="shared" si="2"/>
        <v>110541.12</v>
      </c>
      <c r="T19" s="13" t="s">
        <v>190</v>
      </c>
      <c r="U19" s="13" t="s">
        <v>190</v>
      </c>
      <c r="V19" s="13" t="s">
        <v>182</v>
      </c>
    </row>
    <row r="20" spans="1:22" ht="15" customHeight="1" x14ac:dyDescent="0.3">
      <c r="A20" s="13" t="s">
        <v>255</v>
      </c>
      <c r="B20" s="13" t="s">
        <v>256</v>
      </c>
      <c r="C20" s="13" t="s">
        <v>257</v>
      </c>
      <c r="D20" s="13" t="s">
        <v>202</v>
      </c>
      <c r="E20" s="13" t="s">
        <v>174</v>
      </c>
      <c r="F20" s="13" t="s">
        <v>258</v>
      </c>
      <c r="G20" s="13">
        <v>5968</v>
      </c>
      <c r="H20" s="13" t="s">
        <v>195</v>
      </c>
      <c r="I20" s="13" t="s">
        <v>10</v>
      </c>
      <c r="J20" s="13" t="s">
        <v>12</v>
      </c>
      <c r="K20" s="13" t="s">
        <v>14</v>
      </c>
      <c r="L20" s="13" t="s">
        <v>16</v>
      </c>
      <c r="M20" s="13" t="s">
        <v>41</v>
      </c>
      <c r="N20" s="14">
        <f>INDEX(Lookup_Tables!$B$14:$E$15,MATCH(K20,Lookup_Tables!$A$14:$A$15,0),MATCH(H20,Lookup_Tables!$B$13:$E$13,0))*IF(I20="Cloud",Lookup_Tables!$B$44,Lookup_Tables!$B$45)*IF(J20="1yr",Lookup_Tables!$B$46,IF(J20="2yr",Lookup_Tables!$B$47,Lookup_Tables!$B$48))</f>
        <v>116400</v>
      </c>
      <c r="O20" s="15">
        <v>1.9E-2</v>
      </c>
      <c r="P20" s="14">
        <f t="shared" si="0"/>
        <v>114188.4</v>
      </c>
      <c r="Q20" s="14">
        <f t="shared" si="1"/>
        <v>19.133445040214475</v>
      </c>
      <c r="R20" s="14">
        <f>INDEX(Lookup_Tables!$B$54:$E$66,MATCH(IF(I20="Cloud","Core Platform — Cloud","Core Platform — On-Prem"),Lookup_Tables!$A$54:$A$66,0),MATCH(H20,Lookup_Tables!$B$13:$E$13,0))</f>
        <v>30000</v>
      </c>
      <c r="S20" s="14">
        <f t="shared" si="2"/>
        <v>258376.8</v>
      </c>
      <c r="T20" s="13" t="s">
        <v>190</v>
      </c>
      <c r="U20" s="13" t="s">
        <v>190</v>
      </c>
      <c r="V20" s="13" t="s">
        <v>198</v>
      </c>
    </row>
    <row r="21" spans="1:22" ht="15" customHeight="1" x14ac:dyDescent="0.3">
      <c r="A21" s="13" t="s">
        <v>259</v>
      </c>
      <c r="B21" s="13" t="s">
        <v>260</v>
      </c>
      <c r="C21" s="13" t="s">
        <v>261</v>
      </c>
      <c r="D21" s="13" t="s">
        <v>262</v>
      </c>
      <c r="E21" s="13" t="s">
        <v>187</v>
      </c>
      <c r="F21" s="13" t="s">
        <v>263</v>
      </c>
      <c r="G21" s="13">
        <v>614</v>
      </c>
      <c r="H21" s="13" t="s">
        <v>219</v>
      </c>
      <c r="I21" s="13" t="s">
        <v>79</v>
      </c>
      <c r="J21" s="13" t="s">
        <v>196</v>
      </c>
      <c r="K21" s="13" t="s">
        <v>178</v>
      </c>
      <c r="L21" s="13" t="s">
        <v>179</v>
      </c>
      <c r="M21" s="13" t="s">
        <v>41</v>
      </c>
      <c r="N21" s="14">
        <f>INDEX(Lookup_Tables!$B$14:$E$15,MATCH(K21,Lookup_Tables!$A$14:$A$15,0),MATCH(H21,Lookup_Tables!$B$13:$E$13,0))*IF(I21="Cloud",Lookup_Tables!$B$44,Lookup_Tables!$B$45)*IF(J21="1yr",Lookup_Tables!$B$46,IF(J21="2yr",Lookup_Tables!$B$47,Lookup_Tables!$B$48))</f>
        <v>30400</v>
      </c>
      <c r="O21" s="15">
        <v>0.25800000000000001</v>
      </c>
      <c r="P21" s="14">
        <f t="shared" si="0"/>
        <v>22556.799999999999</v>
      </c>
      <c r="Q21" s="14">
        <f t="shared" si="1"/>
        <v>36.737459283387622</v>
      </c>
      <c r="R21" s="14">
        <f>INDEX(Lookup_Tables!$B$54:$E$66,MATCH(IF(I21="Cloud","Core Platform — Cloud","Core Platform — On-Prem"),Lookup_Tables!$A$54:$A$66,0),MATCH(H21,Lookup_Tables!$B$13:$E$13,0))</f>
        <v>25000</v>
      </c>
      <c r="S21" s="14">
        <f t="shared" si="2"/>
        <v>92670.399999999994</v>
      </c>
      <c r="T21" s="13" t="s">
        <v>190</v>
      </c>
      <c r="U21" s="13" t="s">
        <v>190</v>
      </c>
      <c r="V21" s="13" t="s">
        <v>198</v>
      </c>
    </row>
    <row r="22" spans="1:22" ht="15" customHeight="1" x14ac:dyDescent="0.3">
      <c r="A22" s="13" t="s">
        <v>264</v>
      </c>
      <c r="B22" s="13" t="s">
        <v>265</v>
      </c>
      <c r="C22" s="13" t="s">
        <v>173</v>
      </c>
      <c r="D22" s="13" t="s">
        <v>262</v>
      </c>
      <c r="E22" s="13" t="s">
        <v>187</v>
      </c>
      <c r="F22" s="13" t="s">
        <v>266</v>
      </c>
      <c r="G22" s="13">
        <v>14010</v>
      </c>
      <c r="H22" s="13" t="s">
        <v>204</v>
      </c>
      <c r="I22" s="13" t="s">
        <v>79</v>
      </c>
      <c r="J22" s="13" t="s">
        <v>196</v>
      </c>
      <c r="K22" s="13" t="s">
        <v>14</v>
      </c>
      <c r="L22" s="13" t="s">
        <v>179</v>
      </c>
      <c r="M22" s="13" t="s">
        <v>205</v>
      </c>
      <c r="N22" s="14">
        <f>INDEX(Lookup_Tables!$B$14:$E$15,MATCH(K22,Lookup_Tables!$A$14:$A$15,0),MATCH(H22,Lookup_Tables!$B$13:$E$13,0))*IF(I22="Cloud",Lookup_Tables!$B$44,Lookup_Tables!$B$45)*IF(J22="1yr",Lookup_Tables!$B$46,IF(J22="2yr",Lookup_Tables!$B$47,Lookup_Tables!$B$48))</f>
        <v>180500</v>
      </c>
      <c r="O22" s="15">
        <v>5.7000000000000002E-2</v>
      </c>
      <c r="P22" s="14">
        <f t="shared" si="0"/>
        <v>170211.5</v>
      </c>
      <c r="Q22" s="14">
        <f t="shared" si="1"/>
        <v>12.149286224125625</v>
      </c>
      <c r="R22" s="14">
        <f>INDEX(Lookup_Tables!$B$54:$E$66,MATCH(IF(I22="Cloud","Core Platform — Cloud","Core Platform — On-Prem"),Lookup_Tables!$A$54:$A$66,0),MATCH(H22,Lookup_Tables!$B$13:$E$13,0))</f>
        <v>85000</v>
      </c>
      <c r="S22" s="14">
        <f t="shared" si="2"/>
        <v>595634.5</v>
      </c>
      <c r="T22" s="13" t="s">
        <v>190</v>
      </c>
      <c r="U22" s="13" t="s">
        <v>190</v>
      </c>
      <c r="V22" s="13" t="s">
        <v>198</v>
      </c>
    </row>
    <row r="24" spans="1:22" ht="39.75" customHeight="1" x14ac:dyDescent="0.3">
      <c r="A24" s="90" t="s">
        <v>267</v>
      </c>
      <c r="B24" s="90"/>
      <c r="C24" s="90"/>
      <c r="D24" s="90"/>
      <c r="E24" s="90"/>
      <c r="F24" s="90"/>
      <c r="G24" s="90"/>
      <c r="H24" s="90"/>
      <c r="I24" s="90"/>
      <c r="J24" s="90"/>
    </row>
  </sheetData>
  <mergeCells count="3">
    <mergeCell ref="A1:V1"/>
    <mergeCell ref="A2:V2"/>
    <mergeCell ref="A24:J24"/>
  </mergeCells>
  <conditionalFormatting sqref="T5:U22">
    <cfRule type="cellIs" dxfId="15" priority="2" operator="equal">
      <formula>"OK"</formula>
    </cfRule>
    <cfRule type="cellIs" dxfId="14" priority="3" operator="notEqual">
      <formula>"OK"</formula>
    </cfRule>
  </conditionalFormatting>
  <conditionalFormatting sqref="V5:V22">
    <cfRule type="cellIs" dxfId="13" priority="6" operator="equal">
      <formula>"Approved"</formula>
    </cfRule>
    <cfRule type="cellIs" dxfId="12" priority="7" operator="notEqual">
      <formula>"Approved"</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6"/>
  <sheetViews>
    <sheetView zoomScale="55" zoomScaleNormal="55" workbookViewId="0">
      <pane ySplit="1" topLeftCell="A2" activePane="bottomLeft" state="frozen"/>
      <selection pane="bottomLeft" activeCell="H28" sqref="H28"/>
    </sheetView>
  </sheetViews>
  <sheetFormatPr defaultColWidth="8.77734375" defaultRowHeight="14.4" x14ac:dyDescent="0.3"/>
  <cols>
    <col min="1" max="1" width="36" customWidth="1"/>
    <col min="2" max="2" width="39.5546875" bestFit="1" customWidth="1"/>
    <col min="3" max="4" width="8.5546875" customWidth="1"/>
  </cols>
  <sheetData>
    <row r="1" spans="1:5" ht="19.5" customHeight="1" x14ac:dyDescent="0.3">
      <c r="A1" s="86" t="s">
        <v>0</v>
      </c>
      <c r="B1" s="86"/>
      <c r="C1" s="22"/>
      <c r="D1" s="22"/>
      <c r="E1" s="22"/>
    </row>
    <row r="3" spans="1:5" ht="15" customHeight="1" x14ac:dyDescent="0.3">
      <c r="A3" s="85" t="s">
        <v>1</v>
      </c>
      <c r="B3" s="85"/>
      <c r="C3" s="24"/>
      <c r="D3" s="24"/>
    </row>
    <row r="4" spans="1:5" ht="15" customHeight="1" x14ac:dyDescent="0.3">
      <c r="A4" s="30" t="s">
        <v>2</v>
      </c>
      <c r="B4" s="31" t="s">
        <v>3</v>
      </c>
    </row>
    <row r="5" spans="1:5" ht="15" customHeight="1" x14ac:dyDescent="0.3">
      <c r="A5" s="30" t="s">
        <v>4</v>
      </c>
      <c r="B5" s="32">
        <v>1800</v>
      </c>
    </row>
    <row r="6" spans="1:5" ht="15" customHeight="1" x14ac:dyDescent="0.3">
      <c r="A6" s="30" t="s">
        <v>5</v>
      </c>
      <c r="B6" s="32">
        <v>12</v>
      </c>
    </row>
    <row r="7" spans="1:5" ht="15" customHeight="1" x14ac:dyDescent="0.3">
      <c r="A7" s="30" t="s">
        <v>6</v>
      </c>
      <c r="B7" s="33" t="str">
        <f>IF(B5&gt;=Lookup_Tables!$B$8,"Strategic",IF(B5&gt;=Lookup_Tables!$B$7,"Enterprise",IF(B5&gt;=Lookup_Tables!$B$6,"Mid","Small")))</f>
        <v>Mid</v>
      </c>
    </row>
    <row r="8" spans="1:5" ht="15" customHeight="1" x14ac:dyDescent="0.3">
      <c r="A8" s="30" t="s">
        <v>7</v>
      </c>
      <c r="B8" s="34" t="str">
        <f>IF(MIN(ABS(B5-Lookup_Tables!$B$6)/Lookup_Tables!$B$6,ABS(B5-Lookup_Tables!$B$7)/Lookup_Tables!$B$7,ABS(B5-Lookup_Tables!$B$8)/Lookup_Tables!$B$8)&lt;=Lookup_Tables!$B$10,"Review Band Assignment","OK")</f>
        <v>OK</v>
      </c>
    </row>
    <row r="10" spans="1:5" ht="15" customHeight="1" x14ac:dyDescent="0.3">
      <c r="A10" s="85" t="s">
        <v>8</v>
      </c>
      <c r="B10" s="85"/>
      <c r="C10" s="24"/>
      <c r="D10" s="24"/>
    </row>
    <row r="11" spans="1:5" ht="15" customHeight="1" x14ac:dyDescent="0.3">
      <c r="A11" s="30" t="s">
        <v>9</v>
      </c>
      <c r="B11" s="31" t="s">
        <v>10</v>
      </c>
    </row>
    <row r="12" spans="1:5" ht="15" customHeight="1" x14ac:dyDescent="0.3">
      <c r="A12" s="30" t="s">
        <v>11</v>
      </c>
      <c r="B12" s="31" t="s">
        <v>12</v>
      </c>
    </row>
    <row r="13" spans="1:5" ht="15" customHeight="1" x14ac:dyDescent="0.3">
      <c r="A13" s="30" t="s">
        <v>13</v>
      </c>
      <c r="B13" s="31" t="s">
        <v>14</v>
      </c>
    </row>
    <row r="14" spans="1:5" ht="15" customHeight="1" x14ac:dyDescent="0.3">
      <c r="A14" s="30" t="s">
        <v>15</v>
      </c>
      <c r="B14" s="31" t="s">
        <v>16</v>
      </c>
    </row>
    <row r="15" spans="1:5" ht="15" customHeight="1" x14ac:dyDescent="0.3">
      <c r="A15" s="30" t="s">
        <v>17</v>
      </c>
      <c r="B15" s="33" t="str">
        <f>INDEX(Lookup_Tables!$B$76:$B$81,MATCH(B14,Lookup_Tables!$A$76:$A$81,0))</f>
        <v>Identity Security, MDDR</v>
      </c>
    </row>
    <row r="17" spans="1:4" ht="15" customHeight="1" x14ac:dyDescent="0.3">
      <c r="A17" s="85" t="s">
        <v>18</v>
      </c>
      <c r="B17" s="85"/>
      <c r="C17" s="24"/>
      <c r="D17" s="24"/>
    </row>
    <row r="18" spans="1:4" ht="15" customHeight="1" x14ac:dyDescent="0.3">
      <c r="A18" s="30" t="s">
        <v>19</v>
      </c>
      <c r="B18" s="31" t="s">
        <v>20</v>
      </c>
    </row>
    <row r="19" spans="1:4" ht="15" customHeight="1" x14ac:dyDescent="0.3">
      <c r="A19" s="30" t="s">
        <v>21</v>
      </c>
      <c r="B19" s="31" t="s">
        <v>20</v>
      </c>
    </row>
    <row r="20" spans="1:4" ht="15" customHeight="1" x14ac:dyDescent="0.3">
      <c r="A20" s="30" t="s">
        <v>22</v>
      </c>
      <c r="B20" s="31" t="s">
        <v>23</v>
      </c>
    </row>
    <row r="21" spans="1:4" ht="15" customHeight="1" x14ac:dyDescent="0.3">
      <c r="A21" s="30" t="s">
        <v>24</v>
      </c>
      <c r="B21" s="31" t="s">
        <v>23</v>
      </c>
    </row>
    <row r="23" spans="1:4" ht="15" customHeight="1" x14ac:dyDescent="0.3">
      <c r="A23" s="85" t="s">
        <v>25</v>
      </c>
      <c r="B23" s="85"/>
      <c r="C23" s="24"/>
      <c r="D23" s="24"/>
    </row>
    <row r="24" spans="1:4" ht="15" customHeight="1" x14ac:dyDescent="0.3">
      <c r="A24" s="30" t="s">
        <v>26</v>
      </c>
      <c r="B24" s="31" t="s">
        <v>23</v>
      </c>
    </row>
    <row r="25" spans="1:4" ht="15" customHeight="1" x14ac:dyDescent="0.3">
      <c r="A25" s="30" t="s">
        <v>27</v>
      </c>
      <c r="B25" s="31" t="s">
        <v>20</v>
      </c>
    </row>
    <row r="26" spans="1:4" ht="15" customHeight="1" x14ac:dyDescent="0.3">
      <c r="A26" s="30" t="s">
        <v>28</v>
      </c>
      <c r="B26" s="31" t="s">
        <v>23</v>
      </c>
    </row>
    <row r="27" spans="1:4" ht="15" customHeight="1" x14ac:dyDescent="0.3">
      <c r="A27" s="30" t="s">
        <v>29</v>
      </c>
      <c r="B27" s="31" t="s">
        <v>23</v>
      </c>
    </row>
    <row r="28" spans="1:4" ht="15" customHeight="1" x14ac:dyDescent="0.3">
      <c r="A28" s="30" t="s">
        <v>30</v>
      </c>
      <c r="B28" s="31" t="s">
        <v>20</v>
      </c>
    </row>
    <row r="29" spans="1:4" ht="15" customHeight="1" x14ac:dyDescent="0.3">
      <c r="A29" s="30" t="s">
        <v>31</v>
      </c>
      <c r="B29" s="31" t="s">
        <v>23</v>
      </c>
    </row>
    <row r="30" spans="1:4" ht="15" customHeight="1" x14ac:dyDescent="0.3">
      <c r="A30" s="30" t="s">
        <v>32</v>
      </c>
      <c r="B30" s="31" t="s">
        <v>23</v>
      </c>
    </row>
    <row r="32" spans="1:4" s="28" customFormat="1" ht="34.799999999999997" customHeight="1" x14ac:dyDescent="0.3">
      <c r="A32" s="96" t="s">
        <v>33</v>
      </c>
      <c r="B32" s="96"/>
      <c r="C32" s="35"/>
      <c r="D32" s="35"/>
    </row>
    <row r="34" spans="1:4" ht="15" customHeight="1" x14ac:dyDescent="0.3">
      <c r="A34" s="85" t="s">
        <v>34</v>
      </c>
      <c r="B34" s="85"/>
      <c r="C34" s="24"/>
      <c r="D34" s="24"/>
    </row>
    <row r="35" spans="1:4" ht="15" customHeight="1" x14ac:dyDescent="0.3">
      <c r="A35" s="30" t="s">
        <v>35</v>
      </c>
      <c r="B35" s="31" t="s">
        <v>36</v>
      </c>
    </row>
    <row r="36" spans="1:4" ht="15" customHeight="1" x14ac:dyDescent="0.3">
      <c r="A36" s="30" t="s">
        <v>37</v>
      </c>
      <c r="B36" s="31" t="s">
        <v>38</v>
      </c>
    </row>
  </sheetData>
  <sheetProtection algorithmName="SHA-512" hashValue="GrUff1cM3ynE1CxzjuL0xdn0WpfS9T0euOpVLkWLaMw6JzQCjQzMUs/UZaZ/nwT9uHvCNSl4VlCbrUVggBqSvw==" saltValue="euPp4R+0KqDp30vp5J7dtw==" spinCount="100000" sheet="1" objects="1" scenarios="1"/>
  <mergeCells count="7">
    <mergeCell ref="A34:B34"/>
    <mergeCell ref="A32:B32"/>
    <mergeCell ref="A1:B1"/>
    <mergeCell ref="A3:B3"/>
    <mergeCell ref="A10:B10"/>
    <mergeCell ref="A17:B17"/>
    <mergeCell ref="A23:B23"/>
  </mergeCells>
  <dataValidations count="4">
    <dataValidation type="list" sqref="B11" xr:uid="{00000000-0002-0000-0000-000000000000}">
      <formula1>"On-Prem,Cloud"</formula1>
      <formula2>0</formula2>
    </dataValidation>
    <dataValidation type="list" sqref="B12" xr:uid="{00000000-0002-0000-0000-000001000000}">
      <formula1>"1yr,2yr,3yr"</formula1>
      <formula2>0</formula2>
    </dataValidation>
    <dataValidation type="list" sqref="B13" xr:uid="{00000000-0002-0000-0000-000002000000}">
      <formula1>"Data Security Essentials,Data Security Advanced"</formula1>
      <formula2>0</formula2>
    </dataValidation>
    <dataValidation type="list" sqref="B18:B21 B24:B30" xr:uid="{00000000-0002-0000-0000-000004000000}">
      <formula1>"Yes,No"</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xr:uid="{00000000-0002-0000-0000-000003000000}">
          <x14:formula1>
            <xm:f>Lookup_Tables!$A$76:$A$81</xm:f>
          </x14:formula1>
          <x14:formula2>
            <xm:f>0</xm:f>
          </x14:formula2>
          <xm:sqref>B14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0"/>
  <sheetViews>
    <sheetView zoomScale="55" zoomScaleNormal="55" workbookViewId="0">
      <pane ySplit="1" topLeftCell="A31" activePane="bottomLeft" state="frozen"/>
      <selection pane="bottomLeft" activeCell="N15" sqref="N15"/>
    </sheetView>
  </sheetViews>
  <sheetFormatPr defaultColWidth="8.77734375" defaultRowHeight="14.4" x14ac:dyDescent="0.3"/>
  <cols>
    <col min="1" max="1" width="40" customWidth="1"/>
    <col min="2" max="2" width="39.5546875" bestFit="1" customWidth="1"/>
  </cols>
  <sheetData>
    <row r="1" spans="1:4" ht="19.5" customHeight="1" x14ac:dyDescent="0.3">
      <c r="A1" s="86" t="s">
        <v>39</v>
      </c>
      <c r="B1" s="86"/>
      <c r="C1" s="22"/>
      <c r="D1" s="22"/>
    </row>
    <row r="3" spans="1:4" ht="15" customHeight="1" x14ac:dyDescent="0.3">
      <c r="A3" s="30" t="s">
        <v>40</v>
      </c>
      <c r="B3" s="31" t="s">
        <v>41</v>
      </c>
    </row>
    <row r="5" spans="1:4" ht="15" customHeight="1" x14ac:dyDescent="0.3">
      <c r="A5" s="36" t="s">
        <v>42</v>
      </c>
      <c r="B5" s="36"/>
      <c r="C5" s="24"/>
      <c r="D5" s="24"/>
    </row>
    <row r="6" spans="1:4" ht="15" customHeight="1" x14ac:dyDescent="0.3">
      <c r="A6" s="30" t="s">
        <v>2</v>
      </c>
      <c r="B6" s="41" t="str">
        <f>Deal_Input!B4</f>
        <v>Acme Financial Corp</v>
      </c>
    </row>
    <row r="7" spans="1:4" ht="15" customHeight="1" x14ac:dyDescent="0.3">
      <c r="A7" s="30" t="s">
        <v>43</v>
      </c>
      <c r="B7" s="41" t="str">
        <f>Deal_Input!B35</f>
        <v>Priya Sharma</v>
      </c>
    </row>
    <row r="8" spans="1:4" ht="15" customHeight="1" x14ac:dyDescent="0.3">
      <c r="A8" s="30" t="s">
        <v>44</v>
      </c>
      <c r="B8" s="41" t="str">
        <f>Deal_Input!B36</f>
        <v>Enterprise — BFSI &amp; Healthcare</v>
      </c>
    </row>
    <row r="9" spans="1:4" ht="15" customHeight="1" x14ac:dyDescent="0.3">
      <c r="A9" s="30" t="s">
        <v>45</v>
      </c>
      <c r="B9" s="42">
        <f>Deal_Input!B5</f>
        <v>1800</v>
      </c>
    </row>
    <row r="10" spans="1:4" ht="15" customHeight="1" x14ac:dyDescent="0.3">
      <c r="A10" s="30" t="s">
        <v>46</v>
      </c>
      <c r="B10" s="41" t="str">
        <f>Deal_Input!B7</f>
        <v>Mid</v>
      </c>
    </row>
    <row r="11" spans="1:4" ht="15" customHeight="1" x14ac:dyDescent="0.3">
      <c r="A11" s="30" t="s">
        <v>9</v>
      </c>
      <c r="B11" s="41" t="str">
        <f>Deal_Input!B11</f>
        <v>Cloud</v>
      </c>
    </row>
    <row r="12" spans="1:4" ht="15" customHeight="1" x14ac:dyDescent="0.3">
      <c r="A12" s="30" t="s">
        <v>11</v>
      </c>
      <c r="B12" s="41" t="str">
        <f>Deal_Input!B12</f>
        <v>2yr</v>
      </c>
    </row>
    <row r="13" spans="1:4" ht="15" customHeight="1" x14ac:dyDescent="0.3">
      <c r="A13" s="30" t="s">
        <v>13</v>
      </c>
      <c r="B13" s="41" t="str">
        <f>Deal_Input!B13</f>
        <v>Data Security Advanced</v>
      </c>
    </row>
    <row r="14" spans="1:4" ht="15" customHeight="1" x14ac:dyDescent="0.3">
      <c r="A14" s="30" t="s">
        <v>15</v>
      </c>
      <c r="B14" s="41" t="str">
        <f>Deal_Input!B14</f>
        <v>BFSI (Banking, Financial Services, Insurance)</v>
      </c>
    </row>
    <row r="16" spans="1:4" ht="15" customHeight="1" x14ac:dyDescent="0.3">
      <c r="A16" s="85" t="s">
        <v>47</v>
      </c>
      <c r="B16" s="85"/>
      <c r="C16" s="24"/>
      <c r="D16" s="24"/>
    </row>
    <row r="17" spans="1:2" ht="15" customHeight="1" x14ac:dyDescent="0.3">
      <c r="A17" s="38" t="s">
        <v>48</v>
      </c>
      <c r="B17" s="38" t="s">
        <v>49</v>
      </c>
    </row>
    <row r="18" spans="1:2" ht="15" customHeight="1" x14ac:dyDescent="0.3">
      <c r="A18" s="39" t="s">
        <v>50</v>
      </c>
      <c r="B18" s="43">
        <f>(NB_Pricing_Calculation!$B$6)*NB_Pricing_Calculation!$B$57</f>
        <v>48000</v>
      </c>
    </row>
    <row r="19" spans="1:2" ht="15" customHeight="1" x14ac:dyDescent="0.3">
      <c r="A19" s="39" t="s">
        <v>19</v>
      </c>
      <c r="B19" s="43">
        <f>(NB_Pricing_Calculation!$D$10)*NB_Pricing_Calculation!$B$57</f>
        <v>12000</v>
      </c>
    </row>
    <row r="20" spans="1:2" ht="15" customHeight="1" x14ac:dyDescent="0.3">
      <c r="A20" s="39" t="s">
        <v>21</v>
      </c>
      <c r="B20" s="43">
        <f>(NB_Pricing_Calculation!$D$11)*NB_Pricing_Calculation!$B$57</f>
        <v>3840</v>
      </c>
    </row>
    <row r="21" spans="1:2" ht="15" customHeight="1" x14ac:dyDescent="0.3">
      <c r="A21" s="39" t="s">
        <v>22</v>
      </c>
      <c r="B21" s="43">
        <f>(NB_Pricing_Calculation!$D$12)*NB_Pricing_Calculation!$B$57</f>
        <v>0</v>
      </c>
    </row>
    <row r="22" spans="1:2" ht="15" customHeight="1" x14ac:dyDescent="0.3">
      <c r="A22" s="39" t="s">
        <v>24</v>
      </c>
      <c r="B22" s="43">
        <f>(NB_Pricing_Calculation!$D$13)*NB_Pricing_Calculation!$B$57</f>
        <v>0</v>
      </c>
    </row>
    <row r="23" spans="1:2" ht="15" customHeight="1" x14ac:dyDescent="0.3">
      <c r="A23" s="39" t="s">
        <v>26</v>
      </c>
      <c r="B23" s="43">
        <f>(NB_Pricing_Calculation!$D$17)*NB_Pricing_Calculation!$B$57</f>
        <v>0</v>
      </c>
    </row>
    <row r="24" spans="1:2" ht="15" customHeight="1" x14ac:dyDescent="0.3">
      <c r="A24" s="39" t="s">
        <v>27</v>
      </c>
      <c r="B24" s="43">
        <f>(NB_Pricing_Calculation!$D$18)*NB_Pricing_Calculation!$B$57</f>
        <v>13000</v>
      </c>
    </row>
    <row r="25" spans="1:2" ht="15" customHeight="1" x14ac:dyDescent="0.3">
      <c r="A25" s="39" t="s">
        <v>28</v>
      </c>
      <c r="B25" s="43">
        <f>(NB_Pricing_Calculation!$D$19)*NB_Pricing_Calculation!$B$57</f>
        <v>0</v>
      </c>
    </row>
    <row r="26" spans="1:2" ht="15" customHeight="1" x14ac:dyDescent="0.3">
      <c r="A26" s="39" t="s">
        <v>29</v>
      </c>
      <c r="B26" s="43">
        <f>(NB_Pricing_Calculation!$D$20)*NB_Pricing_Calculation!$B$57</f>
        <v>0</v>
      </c>
    </row>
    <row r="27" spans="1:2" ht="15" customHeight="1" x14ac:dyDescent="0.3">
      <c r="A27" s="39" t="s">
        <v>30</v>
      </c>
      <c r="B27" s="43">
        <f>(NB_Pricing_Calculation!$D$21)*NB_Pricing_Calculation!$B$57</f>
        <v>5500</v>
      </c>
    </row>
    <row r="28" spans="1:2" ht="15" customHeight="1" x14ac:dyDescent="0.3">
      <c r="A28" s="39" t="s">
        <v>31</v>
      </c>
      <c r="B28" s="43">
        <f>(NB_Pricing_Calculation!$D$22)*NB_Pricing_Calculation!$B$57</f>
        <v>0</v>
      </c>
    </row>
    <row r="29" spans="1:2" ht="15" customHeight="1" x14ac:dyDescent="0.3">
      <c r="A29" s="39" t="s">
        <v>32</v>
      </c>
      <c r="B29" s="43">
        <f>(NB_Pricing_Calculation!$D$23)*NB_Pricing_Calculation!$B$57</f>
        <v>0</v>
      </c>
    </row>
    <row r="30" spans="1:2" ht="15" customHeight="1" x14ac:dyDescent="0.3">
      <c r="A30" s="39" t="s">
        <v>51</v>
      </c>
      <c r="B30" s="44" t="s">
        <v>52</v>
      </c>
    </row>
    <row r="31" spans="1:2" ht="15" customHeight="1" x14ac:dyDescent="0.3">
      <c r="A31" s="39" t="s">
        <v>53</v>
      </c>
      <c r="B31" s="44" t="s">
        <v>52</v>
      </c>
    </row>
    <row r="32" spans="1:2" x14ac:dyDescent="0.3">
      <c r="B32" s="45"/>
    </row>
    <row r="33" spans="1:4" ht="15" customHeight="1" x14ac:dyDescent="0.3">
      <c r="A33" s="52" t="s">
        <v>54</v>
      </c>
      <c r="B33" s="53">
        <f>NB_Pricing_Calculation!$B$59</f>
        <v>95843.76</v>
      </c>
    </row>
    <row r="34" spans="1:4" ht="15" customHeight="1" x14ac:dyDescent="0.3">
      <c r="A34" s="30" t="s">
        <v>55</v>
      </c>
      <c r="B34" s="54">
        <v>0</v>
      </c>
    </row>
    <row r="35" spans="1:4" ht="15" customHeight="1" x14ac:dyDescent="0.3">
      <c r="A35" s="52" t="s">
        <v>56</v>
      </c>
      <c r="B35" s="48">
        <f>B33*(1-B34)</f>
        <v>95843.76</v>
      </c>
    </row>
    <row r="36" spans="1:4" ht="15" customHeight="1" x14ac:dyDescent="0.3">
      <c r="A36" s="30" t="s">
        <v>57</v>
      </c>
      <c r="B36" s="55">
        <f>B35/Deal_Input!$B$5</f>
        <v>53.246533333333332</v>
      </c>
    </row>
    <row r="37" spans="1:4" ht="15" customHeight="1" x14ac:dyDescent="0.3">
      <c r="A37" s="30" t="s">
        <v>58</v>
      </c>
      <c r="B37" s="55">
        <f>B36/12</f>
        <v>4.437211111111111</v>
      </c>
    </row>
    <row r="39" spans="1:4" ht="15" customHeight="1" x14ac:dyDescent="0.3">
      <c r="A39" s="87" t="s">
        <v>59</v>
      </c>
      <c r="B39" s="87"/>
      <c r="C39" s="24"/>
      <c r="D39" s="24"/>
    </row>
    <row r="40" spans="1:4" ht="15" customHeight="1" x14ac:dyDescent="0.3">
      <c r="A40" s="39" t="s">
        <v>50</v>
      </c>
      <c r="B40" s="40">
        <f>(NB_Pricing_Calculation!$B$35)*NB_Pricing_Calculation!$B$57</f>
        <v>15000</v>
      </c>
    </row>
    <row r="41" spans="1:4" ht="15" customHeight="1" x14ac:dyDescent="0.3">
      <c r="A41" s="39" t="s">
        <v>19</v>
      </c>
      <c r="B41" s="40">
        <f>(NB_Pricing_Calculation!$B$36)*NB_Pricing_Calculation!$B$57</f>
        <v>4000</v>
      </c>
    </row>
    <row r="42" spans="1:4" ht="15" customHeight="1" x14ac:dyDescent="0.3">
      <c r="A42" s="39" t="s">
        <v>21</v>
      </c>
      <c r="B42" s="40">
        <f>(NB_Pricing_Calculation!$B$37)*NB_Pricing_Calculation!$B$57</f>
        <v>1600</v>
      </c>
    </row>
    <row r="43" spans="1:4" ht="15" customHeight="1" x14ac:dyDescent="0.3">
      <c r="A43" s="39" t="s">
        <v>22</v>
      </c>
      <c r="B43" s="40">
        <f>(NB_Pricing_Calculation!$B$38)*NB_Pricing_Calculation!$B$57</f>
        <v>0</v>
      </c>
    </row>
    <row r="44" spans="1:4" ht="15" customHeight="1" x14ac:dyDescent="0.3">
      <c r="A44" s="39" t="s">
        <v>24</v>
      </c>
      <c r="B44" s="40">
        <f>(NB_Pricing_Calculation!$B$39)*NB_Pricing_Calculation!$B$57</f>
        <v>0</v>
      </c>
    </row>
    <row r="45" spans="1:4" ht="15" customHeight="1" x14ac:dyDescent="0.3">
      <c r="A45" s="39" t="s">
        <v>26</v>
      </c>
      <c r="B45" s="40">
        <f>(NB_Pricing_Calculation!$B$40)*NB_Pricing_Calculation!$B$57</f>
        <v>0</v>
      </c>
    </row>
    <row r="46" spans="1:4" ht="15" customHeight="1" x14ac:dyDescent="0.3">
      <c r="A46" s="39" t="s">
        <v>27</v>
      </c>
      <c r="B46" s="40">
        <f>(NB_Pricing_Calculation!$B$41)*NB_Pricing_Calculation!$B$57</f>
        <v>3000</v>
      </c>
    </row>
    <row r="47" spans="1:4" ht="15" customHeight="1" x14ac:dyDescent="0.3">
      <c r="A47" s="39" t="s">
        <v>28</v>
      </c>
      <c r="B47" s="40">
        <f>(NB_Pricing_Calculation!$B$42)*NB_Pricing_Calculation!$B$57</f>
        <v>0</v>
      </c>
    </row>
    <row r="48" spans="1:4" ht="15" customHeight="1" x14ac:dyDescent="0.3">
      <c r="A48" s="39" t="s">
        <v>29</v>
      </c>
      <c r="B48" s="40">
        <f>(NB_Pricing_Calculation!$B$43)*NB_Pricing_Calculation!$B$57</f>
        <v>0</v>
      </c>
    </row>
    <row r="49" spans="1:4" ht="15" customHeight="1" x14ac:dyDescent="0.3">
      <c r="A49" s="39" t="s">
        <v>30</v>
      </c>
      <c r="B49" s="40">
        <f>(NB_Pricing_Calculation!$B$44)*NB_Pricing_Calculation!$B$57</f>
        <v>1800</v>
      </c>
    </row>
    <row r="50" spans="1:4" ht="15" customHeight="1" x14ac:dyDescent="0.3">
      <c r="A50" s="39" t="s">
        <v>31</v>
      </c>
      <c r="B50" s="40">
        <f>(NB_Pricing_Calculation!$B$45)*NB_Pricing_Calculation!$B$57</f>
        <v>0</v>
      </c>
    </row>
    <row r="51" spans="1:4" ht="15" customHeight="1" x14ac:dyDescent="0.3">
      <c r="A51" s="39" t="s">
        <v>32</v>
      </c>
      <c r="B51" s="40">
        <f>(NB_Pricing_Calculation!$B$46)*NB_Pricing_Calculation!$B$57</f>
        <v>0</v>
      </c>
    </row>
    <row r="52" spans="1:4" x14ac:dyDescent="0.3">
      <c r="A52" s="46"/>
      <c r="B52" s="46"/>
    </row>
    <row r="53" spans="1:4" ht="15" customHeight="1" x14ac:dyDescent="0.3">
      <c r="A53" s="47" t="s">
        <v>60</v>
      </c>
      <c r="B53" s="48">
        <f>NB_Pricing_Calculation!$B$60</f>
        <v>25400</v>
      </c>
    </row>
    <row r="55" spans="1:4" ht="25.5" customHeight="1" x14ac:dyDescent="0.3">
      <c r="A55" s="88" t="s">
        <v>61</v>
      </c>
      <c r="B55" s="88"/>
      <c r="C55" s="49"/>
      <c r="D55" s="49"/>
    </row>
    <row r="58" spans="1:4" ht="15" customHeight="1" x14ac:dyDescent="0.3">
      <c r="A58" s="89" t="s">
        <v>62</v>
      </c>
      <c r="B58" s="89"/>
      <c r="C58" s="24"/>
      <c r="D58" s="24"/>
    </row>
    <row r="59" spans="1:4" ht="15" customHeight="1" x14ac:dyDescent="0.3">
      <c r="A59" s="30" t="s">
        <v>63</v>
      </c>
      <c r="B59" s="39">
        <f>VALUE(LEFT(Deal_Input!$B$12,1))</f>
        <v>2</v>
      </c>
    </row>
    <row r="60" spans="1:4" ht="15" customHeight="1" x14ac:dyDescent="0.3">
      <c r="A60" s="47" t="s">
        <v>64</v>
      </c>
      <c r="B60" s="48">
        <f>B35*B59+B53</f>
        <v>217087.52</v>
      </c>
    </row>
    <row r="61" spans="1:4" x14ac:dyDescent="0.3">
      <c r="A61" s="46"/>
      <c r="B61" s="46"/>
    </row>
    <row r="62" spans="1:4" ht="15" customHeight="1" x14ac:dyDescent="0.3">
      <c r="A62" s="30" t="s">
        <v>65</v>
      </c>
      <c r="B62" s="50">
        <f>(B33-B35)/B33</f>
        <v>0</v>
      </c>
    </row>
    <row r="63" spans="1:4" ht="15" customHeight="1" x14ac:dyDescent="0.3">
      <c r="A63" s="30" t="s">
        <v>66</v>
      </c>
      <c r="B63" s="50">
        <f>B53/B35</f>
        <v>0.26501464466752978</v>
      </c>
    </row>
    <row r="64" spans="1:4" ht="15" customHeight="1" x14ac:dyDescent="0.3">
      <c r="A64" s="30" t="s">
        <v>67</v>
      </c>
      <c r="B64" s="51">
        <f>Competitive_Benchmark!$B$18</f>
        <v>28753.127999999997</v>
      </c>
    </row>
    <row r="66" spans="1:4" ht="15" customHeight="1" x14ac:dyDescent="0.3">
      <c r="A66" s="84" t="s">
        <v>391</v>
      </c>
      <c r="B66" s="84"/>
      <c r="C66" s="24"/>
      <c r="D66" s="24"/>
    </row>
    <row r="67" spans="1:4" ht="15" customHeight="1" x14ac:dyDescent="0.3">
      <c r="A67" s="6" t="s">
        <v>68</v>
      </c>
      <c r="B67" s="6" t="s">
        <v>69</v>
      </c>
    </row>
    <row r="68" spans="1:4" ht="15" customHeight="1" x14ac:dyDescent="0.3">
      <c r="A68" s="1" t="s">
        <v>70</v>
      </c>
      <c r="B68" s="1" t="str">
        <f>NB_Pricing_Calculation!$B$64</f>
        <v>Needs Review</v>
      </c>
    </row>
    <row r="69" spans="1:4" ht="15" customHeight="1" x14ac:dyDescent="0.3">
      <c r="A69" s="1" t="s">
        <v>71</v>
      </c>
      <c r="B69" s="1" t="str">
        <f>NB_Pricing_Calculation!$B$65</f>
        <v>Needs Review</v>
      </c>
    </row>
    <row r="70" spans="1:4" ht="15" customHeight="1" x14ac:dyDescent="0.3">
      <c r="A70" s="1" t="s">
        <v>72</v>
      </c>
      <c r="B70" s="1" t="str">
        <f>NB_Pricing_Calculation!$B$66</f>
        <v>Needs Review</v>
      </c>
    </row>
  </sheetData>
  <sheetProtection sheet="1" objects="1" scenarios="1"/>
  <protectedRanges>
    <protectedRange sqref="B34" name="Range3"/>
    <protectedRange sqref="B3" name="Range1"/>
    <protectedRange sqref="B62" name="Range2"/>
  </protectedRanges>
  <mergeCells count="6">
    <mergeCell ref="A66:B66"/>
    <mergeCell ref="A16:B16"/>
    <mergeCell ref="A1:B1"/>
    <mergeCell ref="A39:B39"/>
    <mergeCell ref="A55:B55"/>
    <mergeCell ref="A58:B58"/>
  </mergeCells>
  <conditionalFormatting sqref="B68:B70">
    <cfRule type="cellIs" dxfId="11" priority="2" operator="equal">
      <formula>"Approved"</formula>
    </cfRule>
    <cfRule type="cellIs" dxfId="10" priority="3" operator="notEqual">
      <formula>"Approved"</formula>
    </cfRule>
  </conditionalFormatting>
  <dataValidations count="1">
    <dataValidation type="list" sqref="B3" xr:uid="{00000000-0002-0000-0100-000000000000}">
      <formula1>"USD,GBP,EUR"</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66"/>
  <sheetViews>
    <sheetView zoomScaleNormal="100" workbookViewId="0">
      <pane ySplit="1" topLeftCell="A2" activePane="bottomLeft" state="frozen"/>
      <selection pane="bottomLeft" activeCell="D3" sqref="D3"/>
    </sheetView>
  </sheetViews>
  <sheetFormatPr defaultColWidth="8.77734375" defaultRowHeight="14.4" x14ac:dyDescent="0.3"/>
  <cols>
    <col min="1" max="1" width="60" bestFit="1" customWidth="1"/>
    <col min="2" max="2" width="20.88671875" bestFit="1" customWidth="1"/>
    <col min="3" max="3" width="24.33203125" customWidth="1"/>
    <col min="4" max="4" width="16" customWidth="1"/>
    <col min="5" max="5" width="20.6640625" customWidth="1"/>
  </cols>
  <sheetData>
    <row r="1" spans="1:5" s="68" customFormat="1" ht="30.6" customHeight="1" x14ac:dyDescent="0.3">
      <c r="A1" s="100" t="s">
        <v>322</v>
      </c>
      <c r="B1" s="100"/>
      <c r="C1" s="100"/>
      <c r="D1" s="67"/>
      <c r="E1" s="67"/>
    </row>
    <row r="3" spans="1:5" ht="15" customHeight="1" x14ac:dyDescent="0.3">
      <c r="A3" s="56" t="s">
        <v>323</v>
      </c>
      <c r="B3" s="56"/>
      <c r="C3" s="24"/>
      <c r="D3" s="24"/>
    </row>
    <row r="4" spans="1:5" ht="15" customHeight="1" x14ac:dyDescent="0.3">
      <c r="A4" s="30" t="s">
        <v>324</v>
      </c>
      <c r="B4" s="41" t="str">
        <f>Deal_Input!B13</f>
        <v>Data Security Advanced</v>
      </c>
    </row>
    <row r="5" spans="1:5" ht="15" customHeight="1" x14ac:dyDescent="0.3">
      <c r="A5" s="30" t="s">
        <v>46</v>
      </c>
      <c r="B5" s="41" t="str">
        <f>Deal_Input!B7</f>
        <v>Mid</v>
      </c>
    </row>
    <row r="6" spans="1:5" ht="15" customHeight="1" x14ac:dyDescent="0.3">
      <c r="A6" s="30" t="s">
        <v>325</v>
      </c>
      <c r="B6" s="61">
        <f>INDEX(Lookup_Tables!$B$14:$E$15,MATCH(Deal_Input!$B$13,Lookup_Tables!$A$14:$A$15,0),MATCH($B$5,Lookup_Tables!$B$13:$E$13,0))</f>
        <v>48000</v>
      </c>
    </row>
    <row r="8" spans="1:5" ht="15" customHeight="1" x14ac:dyDescent="0.3">
      <c r="A8" s="92" t="s">
        <v>326</v>
      </c>
      <c r="B8" s="92"/>
      <c r="C8" s="92"/>
      <c r="D8" s="92"/>
    </row>
    <row r="9" spans="1:5" ht="15" customHeight="1" x14ac:dyDescent="0.3">
      <c r="A9" s="6" t="s">
        <v>278</v>
      </c>
      <c r="B9" s="6" t="s">
        <v>327</v>
      </c>
      <c r="C9" s="6" t="s">
        <v>279</v>
      </c>
      <c r="D9" s="6" t="s">
        <v>49</v>
      </c>
    </row>
    <row r="10" spans="1:5" ht="15" customHeight="1" x14ac:dyDescent="0.3">
      <c r="A10" s="1" t="s">
        <v>19</v>
      </c>
      <c r="B10" s="5" t="str">
        <f>Deal_Input!B18</f>
        <v>Yes</v>
      </c>
      <c r="C10" s="18">
        <f>Lookup_Tables!$B$21</f>
        <v>0.25</v>
      </c>
      <c r="D10" s="19">
        <f>IF(B10="Yes",$B$6*C10,0)</f>
        <v>12000</v>
      </c>
    </row>
    <row r="11" spans="1:5" ht="15" customHeight="1" x14ac:dyDescent="0.3">
      <c r="A11" s="1" t="s">
        <v>21</v>
      </c>
      <c r="B11" s="5" t="str">
        <f>Deal_Input!B19</f>
        <v>Yes</v>
      </c>
      <c r="C11" s="18">
        <f>Lookup_Tables!$B$22</f>
        <v>0.08</v>
      </c>
      <c r="D11" s="19">
        <f>IF(B11="Yes",$B$6*C11,0)</f>
        <v>3840</v>
      </c>
    </row>
    <row r="12" spans="1:5" ht="15" customHeight="1" x14ac:dyDescent="0.3">
      <c r="A12" s="1" t="s">
        <v>22</v>
      </c>
      <c r="B12" s="5" t="str">
        <f>Deal_Input!B20</f>
        <v>No</v>
      </c>
      <c r="C12" s="18">
        <f>Lookup_Tables!$B$23</f>
        <v>0.08</v>
      </c>
      <c r="D12" s="19">
        <f>IF(B12="Yes",$B$6*C12,0)</f>
        <v>0</v>
      </c>
    </row>
    <row r="13" spans="1:5" ht="15" customHeight="1" x14ac:dyDescent="0.3">
      <c r="A13" s="1" t="s">
        <v>24</v>
      </c>
      <c r="B13" s="5" t="str">
        <f>Deal_Input!B21</f>
        <v>No</v>
      </c>
      <c r="C13" s="18">
        <f>Lookup_Tables!$B$24</f>
        <v>0.1</v>
      </c>
      <c r="D13" s="19">
        <f>IF(B13="Yes",$B$6*C13,0)</f>
        <v>0</v>
      </c>
    </row>
    <row r="14" spans="1:5" ht="15" customHeight="1" x14ac:dyDescent="0.3">
      <c r="A14" s="26"/>
      <c r="B14" s="58"/>
      <c r="C14" s="59"/>
      <c r="D14" s="60"/>
    </row>
    <row r="15" spans="1:5" ht="15" customHeight="1" x14ac:dyDescent="0.3">
      <c r="A15" s="92" t="s">
        <v>328</v>
      </c>
      <c r="B15" s="92"/>
      <c r="C15" s="92"/>
      <c r="D15" s="92"/>
    </row>
    <row r="16" spans="1:5" ht="15" customHeight="1" x14ac:dyDescent="0.3">
      <c r="A16" s="6" t="s">
        <v>282</v>
      </c>
      <c r="B16" s="6" t="s">
        <v>327</v>
      </c>
      <c r="C16" s="6" t="s">
        <v>329</v>
      </c>
      <c r="D16" s="6" t="s">
        <v>49</v>
      </c>
    </row>
    <row r="17" spans="1:4" ht="15" customHeight="1" x14ac:dyDescent="0.3">
      <c r="A17" s="1" t="s">
        <v>26</v>
      </c>
      <c r="B17" s="5" t="str">
        <f>Deal_Input!B24</f>
        <v>No</v>
      </c>
      <c r="C17" s="19">
        <f>INDEX(Lookup_Tables!$B$30:$E$30,MATCH($B$5,Lookup_Tables!$B$29:$E$29,0))</f>
        <v>11000</v>
      </c>
      <c r="D17" s="19">
        <f t="shared" ref="D17:D23" si="0">IF(B17="Yes",C17,0)</f>
        <v>0</v>
      </c>
    </row>
    <row r="18" spans="1:4" ht="15" customHeight="1" x14ac:dyDescent="0.3">
      <c r="A18" s="1" t="s">
        <v>27</v>
      </c>
      <c r="B18" s="5" t="str">
        <f>Deal_Input!B25</f>
        <v>Yes</v>
      </c>
      <c r="C18" s="19">
        <f>INDEX(Lookup_Tables!$B$31:$E$31,MATCH($B$5,Lookup_Tables!$B$29:$E$29,0))</f>
        <v>13000</v>
      </c>
      <c r="D18" s="19">
        <f t="shared" si="0"/>
        <v>13000</v>
      </c>
    </row>
    <row r="19" spans="1:4" ht="15" customHeight="1" x14ac:dyDescent="0.3">
      <c r="A19" s="1" t="s">
        <v>28</v>
      </c>
      <c r="B19" s="5" t="str">
        <f>Deal_Input!B26</f>
        <v>No</v>
      </c>
      <c r="C19" s="19">
        <f>INDEX(Lookup_Tables!$B$32:$E$32,MATCH($B$5,Lookup_Tables!$B$29:$E$29,0))</f>
        <v>12000</v>
      </c>
      <c r="D19" s="19">
        <f t="shared" si="0"/>
        <v>0</v>
      </c>
    </row>
    <row r="20" spans="1:4" ht="15" customHeight="1" x14ac:dyDescent="0.3">
      <c r="A20" s="1" t="s">
        <v>29</v>
      </c>
      <c r="B20" s="5" t="str">
        <f>Deal_Input!B27</f>
        <v>No</v>
      </c>
      <c r="C20" s="19">
        <f>INDEX(Lookup_Tables!$B$33:$E$33,MATCH($B$5,Lookup_Tables!$B$29:$E$29,0))</f>
        <v>14000</v>
      </c>
      <c r="D20" s="19">
        <f t="shared" si="0"/>
        <v>0</v>
      </c>
    </row>
    <row r="21" spans="1:4" ht="15" customHeight="1" x14ac:dyDescent="0.3">
      <c r="A21" s="1" t="s">
        <v>30</v>
      </c>
      <c r="B21" s="5" t="str">
        <f>Deal_Input!B28</f>
        <v>Yes</v>
      </c>
      <c r="C21" s="19">
        <f>INDEX(Lookup_Tables!$B$34:$E$34,MATCH($B$5,Lookup_Tables!$B$29:$E$29,0))</f>
        <v>5500</v>
      </c>
      <c r="D21" s="19">
        <f t="shared" si="0"/>
        <v>5500</v>
      </c>
    </row>
    <row r="22" spans="1:4" ht="15" customHeight="1" x14ac:dyDescent="0.3">
      <c r="A22" s="1" t="s">
        <v>31</v>
      </c>
      <c r="B22" s="5" t="str">
        <f>Deal_Input!B29</f>
        <v>No</v>
      </c>
      <c r="C22" s="19">
        <f>INDEX(Lookup_Tables!$B$35:$E$35,MATCH($B$5,Lookup_Tables!$B$29:$E$29,0))</f>
        <v>3500</v>
      </c>
      <c r="D22" s="19">
        <f t="shared" si="0"/>
        <v>0</v>
      </c>
    </row>
    <row r="23" spans="1:4" ht="15" customHeight="1" x14ac:dyDescent="0.3">
      <c r="A23" s="1" t="s">
        <v>32</v>
      </c>
      <c r="B23" s="5" t="str">
        <f>Deal_Input!B30</f>
        <v>No</v>
      </c>
      <c r="C23" s="19">
        <f>INDEX(Lookup_Tables!$B$36:$E$36,MATCH($B$5,Lookup_Tables!$B$29:$E$29,0))</f>
        <v>7000</v>
      </c>
      <c r="D23" s="19">
        <f t="shared" si="0"/>
        <v>0</v>
      </c>
    </row>
    <row r="25" spans="1:4" ht="15" customHeight="1" x14ac:dyDescent="0.3">
      <c r="A25" s="97" t="s">
        <v>330</v>
      </c>
      <c r="B25" s="98"/>
      <c r="C25" s="99"/>
      <c r="D25" s="53">
        <f>$B$6+SUM(D10:D13)+SUM(D17:D23)</f>
        <v>82340</v>
      </c>
    </row>
    <row r="27" spans="1:4" ht="15" customHeight="1" x14ac:dyDescent="0.3">
      <c r="A27" s="56" t="s">
        <v>331</v>
      </c>
      <c r="B27" s="56"/>
    </row>
    <row r="28" spans="1:4" ht="15" customHeight="1" x14ac:dyDescent="0.3">
      <c r="A28" s="30" t="s">
        <v>332</v>
      </c>
      <c r="B28" s="62">
        <f>IF(Deal_Input!$B$11="Cloud",Lookup_Tables!$B$44,Lookup_Tables!$B$45)</f>
        <v>1.2</v>
      </c>
    </row>
    <row r="29" spans="1:4" ht="15" customHeight="1" x14ac:dyDescent="0.3">
      <c r="A29" s="30" t="s">
        <v>333</v>
      </c>
      <c r="B29" s="57">
        <f>D25*B28</f>
        <v>98808</v>
      </c>
    </row>
    <row r="30" spans="1:4" ht="15" customHeight="1" x14ac:dyDescent="0.3">
      <c r="A30" s="30" t="s">
        <v>334</v>
      </c>
      <c r="B30" s="62">
        <f>IF(Deal_Input!$B$12="1yr",Lookup_Tables!$B$46,IF(Deal_Input!$B$12="2yr",Lookup_Tables!$B$47,IF(Deal_Input!$B$12="3yr",Lookup_Tables!$B$48,1)))</f>
        <v>0.97</v>
      </c>
    </row>
    <row r="31" spans="1:4" ht="15" customHeight="1" x14ac:dyDescent="0.3">
      <c r="A31" s="52" t="s">
        <v>335</v>
      </c>
      <c r="B31" s="48">
        <f>B29*B30</f>
        <v>95843.76</v>
      </c>
    </row>
    <row r="33" spans="1:4" ht="15" customHeight="1" x14ac:dyDescent="0.3">
      <c r="A33" s="89" t="s">
        <v>336</v>
      </c>
      <c r="B33" s="89"/>
      <c r="C33" s="24"/>
      <c r="D33" s="24"/>
    </row>
    <row r="34" spans="1:4" ht="15" customHeight="1" x14ac:dyDescent="0.3">
      <c r="A34" s="63" t="s">
        <v>337</v>
      </c>
      <c r="B34" s="63"/>
      <c r="C34" s="2"/>
      <c r="D34" s="2"/>
    </row>
    <row r="35" spans="1:4" ht="15" customHeight="1" x14ac:dyDescent="0.3">
      <c r="A35" s="30" t="s">
        <v>338</v>
      </c>
      <c r="B35" s="57">
        <f>INDEX(Lookup_Tables!$B$54:$E$66,MATCH(IF(Deal_Input!$B$11="Cloud","Core Platform — Cloud","Core Platform — On-Prem"),Lookup_Tables!$A$54:$A$66,0),MATCH($B$5,Lookup_Tables!$B$13:$E$13,0))</f>
        <v>15000</v>
      </c>
    </row>
    <row r="36" spans="1:4" ht="15" customHeight="1" x14ac:dyDescent="0.3">
      <c r="A36" s="30" t="s">
        <v>339</v>
      </c>
      <c r="B36" s="57">
        <f>IF(Deal_Input!B18="Yes",INDEX(Lookup_Tables!$B$56:$E$56,MATCH($B$5,Lookup_Tables!$B$13:$E$13,0)),0)</f>
        <v>4000</v>
      </c>
    </row>
    <row r="37" spans="1:4" ht="15" customHeight="1" x14ac:dyDescent="0.3">
      <c r="A37" s="30" t="s">
        <v>340</v>
      </c>
      <c r="B37" s="57">
        <f>IF(Deal_Input!B19="Yes",INDEX(Lookup_Tables!$B$57:$E$57,MATCH($B$5,Lookup_Tables!$B$13:$E$13,0)),0)</f>
        <v>1600</v>
      </c>
    </row>
    <row r="38" spans="1:4" ht="15" customHeight="1" x14ac:dyDescent="0.3">
      <c r="A38" s="30" t="s">
        <v>341</v>
      </c>
      <c r="B38" s="57">
        <f>IF(Deal_Input!B20="Yes",INDEX(Lookup_Tables!$B$58:$E$58,MATCH($B$5,Lookup_Tables!$B$13:$E$13,0)),0)</f>
        <v>0</v>
      </c>
    </row>
    <row r="39" spans="1:4" ht="15" customHeight="1" x14ac:dyDescent="0.3">
      <c r="A39" s="30" t="s">
        <v>342</v>
      </c>
      <c r="B39" s="57">
        <f>IF(Deal_Input!B21="Yes",INDEX(Lookup_Tables!$B$59:$E$59,MATCH($B$5,Lookup_Tables!$B$13:$E$13,0)),0)</f>
        <v>0</v>
      </c>
    </row>
    <row r="40" spans="1:4" ht="15" customHeight="1" x14ac:dyDescent="0.3">
      <c r="A40" s="30" t="s">
        <v>343</v>
      </c>
      <c r="B40" s="57">
        <f>IF(Deal_Input!B24="Yes",INDEX(Lookup_Tables!$B$60:$E$60,MATCH($B$5,Lookup_Tables!$B$13:$E$13,0)),0)</f>
        <v>0</v>
      </c>
    </row>
    <row r="41" spans="1:4" ht="15" customHeight="1" x14ac:dyDescent="0.3">
      <c r="A41" s="30" t="s">
        <v>344</v>
      </c>
      <c r="B41" s="57">
        <f>IF(Deal_Input!B25="Yes",INDEX(Lookup_Tables!$B$61:$E$61,MATCH($B$5,Lookup_Tables!$B$13:$E$13,0)),0)</f>
        <v>3000</v>
      </c>
    </row>
    <row r="42" spans="1:4" ht="15" customHeight="1" x14ac:dyDescent="0.3">
      <c r="A42" s="30" t="s">
        <v>345</v>
      </c>
      <c r="B42" s="57">
        <f>IF(Deal_Input!B26="Yes",INDEX(Lookup_Tables!$B$62:$E$62,MATCH($B$5,Lookup_Tables!$B$13:$E$13,0)),0)</f>
        <v>0</v>
      </c>
    </row>
    <row r="43" spans="1:4" ht="15" customHeight="1" x14ac:dyDescent="0.3">
      <c r="A43" s="30" t="s">
        <v>346</v>
      </c>
      <c r="B43" s="57">
        <f>IF(Deal_Input!B27="Yes",INDEX(Lookup_Tables!$B$63:$E$63,MATCH($B$5,Lookup_Tables!$B$13:$E$13,0)),0)</f>
        <v>0</v>
      </c>
    </row>
    <row r="44" spans="1:4" ht="15" customHeight="1" x14ac:dyDescent="0.3">
      <c r="A44" s="30" t="s">
        <v>347</v>
      </c>
      <c r="B44" s="57">
        <f>IF(Deal_Input!B28="Yes",INDEX(Lookup_Tables!$B$64:$E$64,MATCH($B$5,Lookup_Tables!$B$13:$E$13,0)),0)</f>
        <v>1800</v>
      </c>
    </row>
    <row r="45" spans="1:4" ht="15" customHeight="1" x14ac:dyDescent="0.3">
      <c r="A45" s="30" t="s">
        <v>348</v>
      </c>
      <c r="B45" s="57">
        <f>IF(Deal_Input!B29="Yes",INDEX(Lookup_Tables!$B$65:$E$65,MATCH($B$5,Lookup_Tables!$B$13:$E$13,0)),0)</f>
        <v>0</v>
      </c>
    </row>
    <row r="46" spans="1:4" ht="15" customHeight="1" x14ac:dyDescent="0.3">
      <c r="A46" s="30" t="s">
        <v>349</v>
      </c>
      <c r="B46" s="57">
        <f>IF(Deal_Input!B30="Yes",INDEX(Lookup_Tables!$B$66:$E$66,MATCH($B$5,Lookup_Tables!$B$13:$E$13,0)),0)</f>
        <v>0</v>
      </c>
    </row>
    <row r="47" spans="1:4" x14ac:dyDescent="0.3">
      <c r="A47" s="46"/>
      <c r="B47" s="46"/>
    </row>
    <row r="48" spans="1:4" ht="15" customHeight="1" x14ac:dyDescent="0.3">
      <c r="A48" s="52" t="s">
        <v>350</v>
      </c>
      <c r="B48" s="48">
        <f>B35+B36+B37+B38+B39+B40+B41+B42+B43+B44+B45+B46</f>
        <v>25400</v>
      </c>
    </row>
    <row r="50" spans="1:4" ht="25.5" customHeight="1" x14ac:dyDescent="0.3">
      <c r="A50" s="93" t="s">
        <v>61</v>
      </c>
      <c r="B50" s="93"/>
      <c r="C50" s="93"/>
      <c r="D50" s="93"/>
    </row>
    <row r="53" spans="1:4" ht="15" customHeight="1" x14ac:dyDescent="0.3">
      <c r="A53" s="21" t="s">
        <v>351</v>
      </c>
      <c r="B53" s="21"/>
      <c r="C53" s="24"/>
      <c r="D53" s="24"/>
    </row>
    <row r="54" spans="1:4" ht="15" customHeight="1" x14ac:dyDescent="0.3">
      <c r="A54" s="30" t="s">
        <v>352</v>
      </c>
      <c r="B54" s="41" t="str">
        <f>Deal_Overview!$B$3</f>
        <v>USD</v>
      </c>
    </row>
    <row r="55" spans="1:4" ht="15" customHeight="1" x14ac:dyDescent="0.3">
      <c r="A55" s="30" t="s">
        <v>353</v>
      </c>
      <c r="B55" s="64">
        <f>INDEX(Lookup_Tables!$B$93:$B$95,MATCH(B54,Lookup_Tables!$A$93:$A$95,0))</f>
        <v>1</v>
      </c>
    </row>
    <row r="56" spans="1:4" ht="15" customHeight="1" x14ac:dyDescent="0.3">
      <c r="A56" s="30" t="s">
        <v>354</v>
      </c>
      <c r="B56" s="65"/>
    </row>
    <row r="57" spans="1:4" ht="15" customHeight="1" x14ac:dyDescent="0.3">
      <c r="A57" s="52" t="s">
        <v>355</v>
      </c>
      <c r="B57" s="66">
        <f>IF(B56="",B55,B56)</f>
        <v>1</v>
      </c>
    </row>
    <row r="59" spans="1:4" ht="15" customHeight="1" x14ac:dyDescent="0.3">
      <c r="A59" s="30" t="s">
        <v>356</v>
      </c>
      <c r="B59" s="57">
        <f>B31*B57</f>
        <v>95843.76</v>
      </c>
    </row>
    <row r="60" spans="1:4" ht="15" customHeight="1" x14ac:dyDescent="0.3">
      <c r="A60" s="30" t="s">
        <v>357</v>
      </c>
      <c r="B60" s="57">
        <f>B48*B57</f>
        <v>25400</v>
      </c>
    </row>
    <row r="62" spans="1:4" ht="15" customHeight="1" x14ac:dyDescent="0.3">
      <c r="A62" s="84" t="s">
        <v>358</v>
      </c>
      <c r="B62" s="84"/>
      <c r="C62" s="24"/>
      <c r="D62" s="24"/>
    </row>
    <row r="63" spans="1:4" ht="15" customHeight="1" x14ac:dyDescent="0.3">
      <c r="A63" s="6" t="s">
        <v>68</v>
      </c>
      <c r="B63" s="6" t="s">
        <v>69</v>
      </c>
    </row>
    <row r="64" spans="1:4" ht="15" customHeight="1" x14ac:dyDescent="0.3">
      <c r="A64" s="1" t="s">
        <v>70</v>
      </c>
      <c r="B64" s="4" t="s">
        <v>182</v>
      </c>
    </row>
    <row r="65" spans="1:2" ht="15" customHeight="1" x14ac:dyDescent="0.3">
      <c r="A65" s="1" t="s">
        <v>71</v>
      </c>
      <c r="B65" s="4" t="s">
        <v>182</v>
      </c>
    </row>
    <row r="66" spans="1:2" ht="15" customHeight="1" x14ac:dyDescent="0.3">
      <c r="A66" s="1" t="s">
        <v>72</v>
      </c>
      <c r="B66" s="4" t="s">
        <v>182</v>
      </c>
    </row>
  </sheetData>
  <mergeCells count="7">
    <mergeCell ref="A62:B62"/>
    <mergeCell ref="A8:D8"/>
    <mergeCell ref="A15:D15"/>
    <mergeCell ref="A25:C25"/>
    <mergeCell ref="A1:C1"/>
    <mergeCell ref="A50:D50"/>
    <mergeCell ref="A33:B33"/>
  </mergeCells>
  <conditionalFormatting sqref="B64:B66">
    <cfRule type="cellIs" dxfId="9" priority="2" operator="equal">
      <formula>"Approved"</formula>
    </cfRule>
    <cfRule type="cellIs" dxfId="8" priority="3" operator="notEqual">
      <formula>"Approved"</formula>
    </cfRule>
  </conditionalFormatting>
  <dataValidations count="1">
    <dataValidation type="list" sqref="B64:B66" xr:uid="{00000000-0002-0000-0700-000000000000}">
      <formula1>"Needs Review,Approved"</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3"/>
  <sheetViews>
    <sheetView zoomScale="51" zoomScaleNormal="55" workbookViewId="0">
      <pane ySplit="1" topLeftCell="A2" activePane="bottomLeft" state="frozen"/>
      <selection pane="bottomLeft" activeCell="H23" sqref="H23"/>
    </sheetView>
  </sheetViews>
  <sheetFormatPr defaultColWidth="8.77734375" defaultRowHeight="14.4" x14ac:dyDescent="0.3"/>
  <cols>
    <col min="1" max="1" width="59.77734375" customWidth="1"/>
    <col min="2" max="2" width="27.88671875" bestFit="1" customWidth="1"/>
  </cols>
  <sheetData>
    <row r="1" spans="1:5" ht="19.5" customHeight="1" x14ac:dyDescent="0.3">
      <c r="A1" s="86" t="s">
        <v>73</v>
      </c>
      <c r="B1" s="86"/>
      <c r="C1" s="22"/>
      <c r="D1" s="22"/>
      <c r="E1" s="22"/>
    </row>
    <row r="2" spans="1:5" ht="15" customHeight="1" x14ac:dyDescent="0.3">
      <c r="A2" s="101" t="s">
        <v>74</v>
      </c>
      <c r="B2" s="101"/>
      <c r="C2" s="24"/>
      <c r="D2" s="24"/>
    </row>
    <row r="3" spans="1:5" ht="15" customHeight="1" x14ac:dyDescent="0.3">
      <c r="A3" s="30" t="s">
        <v>75</v>
      </c>
      <c r="B3" s="31" t="s">
        <v>3</v>
      </c>
    </row>
    <row r="4" spans="1:5" ht="15" customHeight="1" x14ac:dyDescent="0.3">
      <c r="A4" s="30" t="s">
        <v>76</v>
      </c>
      <c r="B4" s="69">
        <v>88696.8</v>
      </c>
    </row>
    <row r="5" spans="1:5" ht="15" customHeight="1" x14ac:dyDescent="0.3">
      <c r="A5" s="30" t="s">
        <v>77</v>
      </c>
      <c r="B5" s="31" t="s">
        <v>14</v>
      </c>
    </row>
    <row r="6" spans="1:5" ht="15" customHeight="1" x14ac:dyDescent="0.3">
      <c r="A6" s="30" t="s">
        <v>78</v>
      </c>
      <c r="B6" s="31" t="s">
        <v>79</v>
      </c>
    </row>
    <row r="7" spans="1:5" ht="15" customHeight="1" x14ac:dyDescent="0.3">
      <c r="A7" s="30" t="s">
        <v>80</v>
      </c>
      <c r="B7" s="32">
        <v>1800</v>
      </c>
    </row>
    <row r="8" spans="1:5" ht="15" customHeight="1" x14ac:dyDescent="0.3">
      <c r="A8" s="30" t="s">
        <v>6</v>
      </c>
      <c r="B8" s="32" t="str">
        <f>IF(B7&gt;=Lookup_Tables!$B$8,"Strategic",IF(B7&gt;=Lookup_Tables!$B$7,"Enterprise",IF(B7&gt;=Lookup_Tables!$B$6,"Mid","Small")))</f>
        <v>Mid</v>
      </c>
    </row>
    <row r="9" spans="1:5" ht="15" customHeight="1" x14ac:dyDescent="0.3">
      <c r="A9" s="30" t="s">
        <v>81</v>
      </c>
      <c r="B9" s="31">
        <v>3</v>
      </c>
    </row>
    <row r="11" spans="1:5" ht="15" customHeight="1" x14ac:dyDescent="0.3">
      <c r="A11" s="101" t="s">
        <v>82</v>
      </c>
      <c r="B11" s="101"/>
      <c r="C11" s="24"/>
      <c r="D11" s="24"/>
    </row>
    <row r="12" spans="1:5" ht="15" customHeight="1" x14ac:dyDescent="0.3">
      <c r="A12" s="30" t="s">
        <v>83</v>
      </c>
      <c r="B12" s="31" t="s">
        <v>20</v>
      </c>
    </row>
    <row r="13" spans="1:5" ht="15" customHeight="1" x14ac:dyDescent="0.3">
      <c r="A13" s="30" t="s">
        <v>84</v>
      </c>
      <c r="B13" s="31" t="s">
        <v>23</v>
      </c>
    </row>
    <row r="14" spans="1:5" ht="15" customHeight="1" x14ac:dyDescent="0.3">
      <c r="A14" s="30" t="s">
        <v>85</v>
      </c>
      <c r="B14" s="31" t="s">
        <v>23</v>
      </c>
    </row>
    <row r="15" spans="1:5" ht="15" customHeight="1" x14ac:dyDescent="0.3">
      <c r="A15" s="30" t="s">
        <v>86</v>
      </c>
      <c r="B15" s="31" t="s">
        <v>23</v>
      </c>
    </row>
    <row r="16" spans="1:5" ht="15" customHeight="1" x14ac:dyDescent="0.3">
      <c r="A16" s="30" t="s">
        <v>87</v>
      </c>
      <c r="B16" s="31" t="s">
        <v>23</v>
      </c>
    </row>
    <row r="17" spans="1:4" ht="15" customHeight="1" x14ac:dyDescent="0.3">
      <c r="A17" s="30" t="s">
        <v>88</v>
      </c>
      <c r="B17" s="31" t="s">
        <v>23</v>
      </c>
    </row>
    <row r="18" spans="1:4" ht="15" customHeight="1" x14ac:dyDescent="0.3">
      <c r="A18" s="30" t="s">
        <v>89</v>
      </c>
      <c r="B18" s="31" t="s">
        <v>23</v>
      </c>
    </row>
    <row r="19" spans="1:4" ht="15" customHeight="1" x14ac:dyDescent="0.3">
      <c r="A19" s="30" t="s">
        <v>90</v>
      </c>
      <c r="B19" s="31" t="s">
        <v>23</v>
      </c>
    </row>
    <row r="20" spans="1:4" ht="15" customHeight="1" x14ac:dyDescent="0.3">
      <c r="A20" s="30" t="s">
        <v>91</v>
      </c>
      <c r="B20" s="31" t="s">
        <v>23</v>
      </c>
    </row>
    <row r="21" spans="1:4" ht="15" customHeight="1" x14ac:dyDescent="0.3">
      <c r="A21" s="30" t="s">
        <v>92</v>
      </c>
      <c r="B21" s="31" t="s">
        <v>23</v>
      </c>
    </row>
    <row r="22" spans="1:4" ht="15" customHeight="1" x14ac:dyDescent="0.3">
      <c r="A22" s="30" t="s">
        <v>93</v>
      </c>
      <c r="B22" s="31" t="s">
        <v>23</v>
      </c>
    </row>
    <row r="24" spans="1:4" ht="15" customHeight="1" x14ac:dyDescent="0.3">
      <c r="A24" s="102" t="s">
        <v>94</v>
      </c>
      <c r="B24" s="102"/>
      <c r="C24" s="72"/>
      <c r="D24" s="72"/>
    </row>
    <row r="25" spans="1:4" ht="15" customHeight="1" x14ac:dyDescent="0.3">
      <c r="A25" s="3" t="s">
        <v>95</v>
      </c>
      <c r="B25" s="29" t="s">
        <v>12</v>
      </c>
    </row>
    <row r="26" spans="1:4" ht="15" customHeight="1" x14ac:dyDescent="0.3">
      <c r="A26" s="3" t="s">
        <v>96</v>
      </c>
      <c r="B26" s="29" t="s">
        <v>97</v>
      </c>
    </row>
    <row r="27" spans="1:4" ht="15" customHeight="1" x14ac:dyDescent="0.3">
      <c r="A27" s="3" t="s">
        <v>98</v>
      </c>
      <c r="B27" s="29" t="s">
        <v>99</v>
      </c>
    </row>
    <row r="28" spans="1:4" ht="15" customHeight="1" x14ac:dyDescent="0.3">
      <c r="A28" s="3" t="s">
        <v>100</v>
      </c>
      <c r="B28" s="29" t="s">
        <v>97</v>
      </c>
    </row>
    <row r="29" spans="1:4" ht="15" customHeight="1" x14ac:dyDescent="0.3">
      <c r="A29" s="3" t="s">
        <v>101</v>
      </c>
      <c r="B29" s="29" t="s">
        <v>97</v>
      </c>
    </row>
    <row r="30" spans="1:4" ht="15" customHeight="1" x14ac:dyDescent="0.3">
      <c r="A30" s="3" t="s">
        <v>102</v>
      </c>
      <c r="B30" s="29" t="s">
        <v>97</v>
      </c>
    </row>
    <row r="31" spans="1:4" ht="15" customHeight="1" x14ac:dyDescent="0.3">
      <c r="A31" s="3" t="s">
        <v>103</v>
      </c>
      <c r="B31" s="29" t="s">
        <v>97</v>
      </c>
    </row>
    <row r="32" spans="1:4" ht="15" customHeight="1" x14ac:dyDescent="0.3">
      <c r="A32" s="3" t="s">
        <v>104</v>
      </c>
      <c r="B32" s="29" t="s">
        <v>97</v>
      </c>
    </row>
    <row r="33" spans="1:4" ht="15" customHeight="1" x14ac:dyDescent="0.3">
      <c r="A33" s="3" t="s">
        <v>105</v>
      </c>
      <c r="B33" s="29" t="s">
        <v>97</v>
      </c>
    </row>
    <row r="34" spans="1:4" ht="15" customHeight="1" x14ac:dyDescent="0.3">
      <c r="A34" s="3" t="s">
        <v>106</v>
      </c>
      <c r="B34" s="29" t="s">
        <v>97</v>
      </c>
    </row>
    <row r="35" spans="1:4" ht="15" customHeight="1" x14ac:dyDescent="0.3">
      <c r="A35" s="3" t="s">
        <v>107</v>
      </c>
      <c r="B35" s="29" t="s">
        <v>97</v>
      </c>
    </row>
    <row r="36" spans="1:4" ht="15" customHeight="1" x14ac:dyDescent="0.3">
      <c r="A36" s="3" t="s">
        <v>108</v>
      </c>
      <c r="B36" s="29" t="s">
        <v>97</v>
      </c>
    </row>
    <row r="37" spans="1:4" ht="15" customHeight="1" x14ac:dyDescent="0.3">
      <c r="A37" s="3" t="s">
        <v>109</v>
      </c>
      <c r="B37" s="29" t="s">
        <v>110</v>
      </c>
    </row>
    <row r="39" spans="1:4" s="71" customFormat="1" ht="32.4" customHeight="1" x14ac:dyDescent="0.3">
      <c r="A39" s="96" t="s">
        <v>111</v>
      </c>
      <c r="B39" s="96"/>
      <c r="C39" s="20"/>
      <c r="D39" s="20"/>
    </row>
    <row r="41" spans="1:4" ht="15" customHeight="1" x14ac:dyDescent="0.3">
      <c r="A41" s="101" t="s">
        <v>34</v>
      </c>
      <c r="B41" s="101"/>
      <c r="C41" s="24"/>
      <c r="D41" s="24"/>
    </row>
    <row r="42" spans="1:4" ht="15" customHeight="1" x14ac:dyDescent="0.3">
      <c r="A42" s="30" t="s">
        <v>35</v>
      </c>
      <c r="B42" s="31" t="s">
        <v>36</v>
      </c>
    </row>
    <row r="43" spans="1:4" ht="15" customHeight="1" x14ac:dyDescent="0.3">
      <c r="A43" s="30" t="s">
        <v>37</v>
      </c>
      <c r="B43" s="31" t="s">
        <v>38</v>
      </c>
    </row>
  </sheetData>
  <mergeCells count="6">
    <mergeCell ref="A11:B11"/>
    <mergeCell ref="A2:B2"/>
    <mergeCell ref="A41:B41"/>
    <mergeCell ref="A1:B1"/>
    <mergeCell ref="A39:B39"/>
    <mergeCell ref="A24:B24"/>
  </mergeCells>
  <dataValidations count="6">
    <dataValidation type="list" sqref="B5" xr:uid="{00000000-0002-0000-0200-000000000000}">
      <formula1>"Data Security Essentials,Data Security Advanced"</formula1>
      <formula2>0</formula2>
    </dataValidation>
    <dataValidation type="list" sqref="B6" xr:uid="{00000000-0002-0000-0200-000001000000}">
      <formula1>"On-Prem,Cloud"</formula1>
      <formula2>0</formula2>
    </dataValidation>
    <dataValidation type="list" sqref="B25" xr:uid="{00000000-0002-0000-0200-000002000000}">
      <formula1>"1yr,2yr,3yr"</formula1>
      <formula2>0</formula2>
    </dataValidation>
    <dataValidation type="list" sqref="B12:B22" xr:uid="{00000000-0002-0000-0200-000003000000}">
      <formula1>"Yes,No"</formula1>
      <formula2>0</formula2>
    </dataValidation>
    <dataValidation type="list" sqref="B26:B36" xr:uid="{00000000-0002-0000-0200-000004000000}">
      <formula1>"No Change,Add,Remove"</formula1>
      <formula2>0</formula2>
    </dataValidation>
    <dataValidation type="list" sqref="B37" xr:uid="{00000000-0002-0000-0200-000005000000}">
      <formula1>"No,On-Prem to Cloud,Cloud to On-Prem"</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71"/>
  <sheetViews>
    <sheetView tabSelected="1" zoomScale="55" zoomScaleNormal="55" workbookViewId="0">
      <pane ySplit="1" topLeftCell="A2" activePane="bottomLeft" state="frozen"/>
      <selection pane="bottomLeft" activeCell="B58" sqref="B58"/>
    </sheetView>
  </sheetViews>
  <sheetFormatPr defaultColWidth="8.77734375" defaultRowHeight="14.4" x14ac:dyDescent="0.3"/>
  <cols>
    <col min="1" max="1" width="61.21875" bestFit="1" customWidth="1"/>
    <col min="2" max="2" width="30.88671875" bestFit="1" customWidth="1"/>
  </cols>
  <sheetData>
    <row r="1" spans="1:5" ht="19.5" customHeight="1" x14ac:dyDescent="0.3">
      <c r="A1" s="86" t="s">
        <v>112</v>
      </c>
      <c r="B1" s="86"/>
      <c r="C1" s="22"/>
      <c r="D1" s="22"/>
      <c r="E1" s="22"/>
    </row>
    <row r="3" spans="1:5" ht="15" customHeight="1" x14ac:dyDescent="0.3">
      <c r="A3" s="30" t="s">
        <v>40</v>
      </c>
      <c r="B3" s="31" t="s">
        <v>41</v>
      </c>
    </row>
    <row r="5" spans="1:5" ht="15" customHeight="1" x14ac:dyDescent="0.3">
      <c r="A5" s="36" t="s">
        <v>113</v>
      </c>
      <c r="B5" s="36"/>
      <c r="C5" s="24"/>
      <c r="D5" s="24"/>
    </row>
    <row r="6" spans="1:5" ht="15" customHeight="1" x14ac:dyDescent="0.3">
      <c r="A6" s="30" t="s">
        <v>75</v>
      </c>
      <c r="B6" s="41" t="str">
        <f>Renewal_Input!B3</f>
        <v>Acme Financial Corp</v>
      </c>
    </row>
    <row r="7" spans="1:5" ht="15" customHeight="1" x14ac:dyDescent="0.3">
      <c r="A7" s="30" t="s">
        <v>43</v>
      </c>
      <c r="B7" s="41" t="str">
        <f>Renewal_Input!B42</f>
        <v>Priya Sharma</v>
      </c>
    </row>
    <row r="8" spans="1:5" ht="15" customHeight="1" x14ac:dyDescent="0.3">
      <c r="A8" s="30" t="s">
        <v>44</v>
      </c>
      <c r="B8" s="41" t="str">
        <f>Renewal_Input!B43</f>
        <v>Enterprise — BFSI &amp; Healthcare</v>
      </c>
    </row>
    <row r="9" spans="1:5" ht="15" customHeight="1" x14ac:dyDescent="0.3">
      <c r="A9" s="30" t="s">
        <v>45</v>
      </c>
      <c r="B9" s="42">
        <f>Renewal_Input!B7</f>
        <v>1800</v>
      </c>
    </row>
    <row r="10" spans="1:5" ht="15" customHeight="1" x14ac:dyDescent="0.3">
      <c r="A10" s="30" t="s">
        <v>46</v>
      </c>
      <c r="B10" s="41" t="str">
        <f>Renewal_Input!B8</f>
        <v>Mid</v>
      </c>
    </row>
    <row r="11" spans="1:5" ht="15" customHeight="1" x14ac:dyDescent="0.3">
      <c r="A11" s="30" t="s">
        <v>78</v>
      </c>
      <c r="B11" s="41" t="str">
        <f>Renewal_Input!B6</f>
        <v>On-Prem</v>
      </c>
    </row>
    <row r="12" spans="1:5" ht="15" customHeight="1" x14ac:dyDescent="0.3">
      <c r="A12" s="30" t="s">
        <v>114</v>
      </c>
      <c r="B12" s="41" t="str">
        <f>Renewal_Calculation!B36</f>
        <v>Cloud</v>
      </c>
    </row>
    <row r="13" spans="1:5" ht="15" customHeight="1" x14ac:dyDescent="0.3">
      <c r="A13" s="30" t="s">
        <v>95</v>
      </c>
      <c r="B13" s="41" t="str">
        <f>Renewal_Input!B25</f>
        <v>2yr</v>
      </c>
    </row>
    <row r="14" spans="1:5" ht="15" customHeight="1" x14ac:dyDescent="0.3">
      <c r="A14" s="30" t="s">
        <v>13</v>
      </c>
      <c r="B14" s="41" t="str">
        <f>Renewal_Input!B5</f>
        <v>Data Security Advanced</v>
      </c>
    </row>
    <row r="16" spans="1:5" ht="15" customHeight="1" x14ac:dyDescent="0.3">
      <c r="A16" s="89" t="s">
        <v>115</v>
      </c>
      <c r="B16" s="89"/>
      <c r="C16" s="24"/>
      <c r="D16" s="24"/>
    </row>
    <row r="17" spans="1:2" ht="15" customHeight="1" x14ac:dyDescent="0.3">
      <c r="A17" s="103" t="str">
        <f>"All amounts shown in: "&amp;B3</f>
        <v>All amounts shown in: USD</v>
      </c>
      <c r="B17" s="103"/>
    </row>
    <row r="18" spans="1:2" ht="15" customHeight="1" x14ac:dyDescent="0.3">
      <c r="A18" s="30" t="s">
        <v>116</v>
      </c>
      <c r="B18" s="40">
        <f>Renewal_Calculation!$B$75</f>
        <v>88696.8</v>
      </c>
    </row>
    <row r="19" spans="1:2" ht="15" customHeight="1" x14ac:dyDescent="0.3">
      <c r="A19" s="30" t="s">
        <v>117</v>
      </c>
      <c r="B19" s="57">
        <f>Renewal_Calculation!$B$6*Renewal_Calculation!$B$69</f>
        <v>94905.576000000015</v>
      </c>
    </row>
    <row r="21" spans="1:2" ht="15" customHeight="1" x14ac:dyDescent="0.3">
      <c r="A21" s="104" t="s">
        <v>118</v>
      </c>
      <c r="B21" s="104"/>
    </row>
    <row r="22" spans="1:2" ht="15" customHeight="1" x14ac:dyDescent="0.3">
      <c r="A22" s="39" t="s">
        <v>19</v>
      </c>
      <c r="B22" s="40">
        <f>Renewal_Calculation!$E$15*Renewal_Calculation!$B$69</f>
        <v>0</v>
      </c>
    </row>
    <row r="23" spans="1:2" ht="15" customHeight="1" x14ac:dyDescent="0.3">
      <c r="A23" s="39" t="s">
        <v>21</v>
      </c>
      <c r="B23" s="40">
        <f>Renewal_Calculation!$E$16*Renewal_Calculation!$B$69</f>
        <v>3840</v>
      </c>
    </row>
    <row r="24" spans="1:2" ht="15" customHeight="1" x14ac:dyDescent="0.3">
      <c r="A24" s="39" t="s">
        <v>22</v>
      </c>
      <c r="B24" s="40">
        <f>Renewal_Calculation!$E$17*Renewal_Calculation!$B$69</f>
        <v>0</v>
      </c>
    </row>
    <row r="25" spans="1:2" ht="15" customHeight="1" x14ac:dyDescent="0.3">
      <c r="A25" s="39" t="s">
        <v>24</v>
      </c>
      <c r="B25" s="40">
        <f>Renewal_Calculation!$E$18*Renewal_Calculation!$B$69</f>
        <v>0</v>
      </c>
    </row>
    <row r="26" spans="1:2" ht="15" customHeight="1" x14ac:dyDescent="0.3">
      <c r="A26" s="39" t="s">
        <v>26</v>
      </c>
      <c r="B26" s="40">
        <f>Renewal_Calculation!$E$22*Renewal_Calculation!$B$69</f>
        <v>0</v>
      </c>
    </row>
    <row r="27" spans="1:2" ht="15" customHeight="1" x14ac:dyDescent="0.3">
      <c r="A27" s="39" t="s">
        <v>27</v>
      </c>
      <c r="B27" s="40">
        <f>Renewal_Calculation!$E$23*Renewal_Calculation!$B$69</f>
        <v>0</v>
      </c>
    </row>
    <row r="28" spans="1:2" ht="15" customHeight="1" x14ac:dyDescent="0.3">
      <c r="A28" s="39" t="s">
        <v>28</v>
      </c>
      <c r="B28" s="40">
        <f>Renewal_Calculation!$E$24*Renewal_Calculation!$B$69</f>
        <v>0</v>
      </c>
    </row>
    <row r="29" spans="1:2" ht="15" customHeight="1" x14ac:dyDescent="0.3">
      <c r="A29" s="39" t="s">
        <v>29</v>
      </c>
      <c r="B29" s="40">
        <f>Renewal_Calculation!$E$25*Renewal_Calculation!$B$69</f>
        <v>0</v>
      </c>
    </row>
    <row r="30" spans="1:2" ht="15" customHeight="1" x14ac:dyDescent="0.3">
      <c r="A30" s="39" t="s">
        <v>30</v>
      </c>
      <c r="B30" s="40">
        <f>Renewal_Calculation!$E$26*Renewal_Calculation!$B$69</f>
        <v>0</v>
      </c>
    </row>
    <row r="31" spans="1:2" ht="15" customHeight="1" x14ac:dyDescent="0.3">
      <c r="A31" s="39" t="s">
        <v>31</v>
      </c>
      <c r="B31" s="40">
        <f>Renewal_Calculation!$E$27*Renewal_Calculation!$B$69</f>
        <v>0</v>
      </c>
    </row>
    <row r="32" spans="1:2" ht="15" customHeight="1" x14ac:dyDescent="0.3">
      <c r="A32" s="39" t="s">
        <v>32</v>
      </c>
      <c r="B32" s="40">
        <f>Renewal_Calculation!$E$28*Renewal_Calculation!$B$69</f>
        <v>0</v>
      </c>
    </row>
    <row r="34" spans="1:4" ht="15" customHeight="1" x14ac:dyDescent="0.3">
      <c r="A34" s="76" t="s">
        <v>392</v>
      </c>
      <c r="B34" s="73">
        <f>Renewal_Calculation!$B$71</f>
        <v>117726.69120000002</v>
      </c>
    </row>
    <row r="35" spans="1:4" ht="15" customHeight="1" x14ac:dyDescent="0.3">
      <c r="A35" s="30" t="s">
        <v>119</v>
      </c>
      <c r="B35" s="74">
        <f>B34-Renewal_Calculation!$B$75</f>
        <v>29029.891200000013</v>
      </c>
    </row>
    <row r="36" spans="1:4" ht="15" customHeight="1" x14ac:dyDescent="0.3">
      <c r="A36" s="30" t="s">
        <v>55</v>
      </c>
      <c r="B36" s="82"/>
    </row>
    <row r="37" spans="1:4" ht="15" customHeight="1" x14ac:dyDescent="0.3">
      <c r="A37" s="77" t="s">
        <v>393</v>
      </c>
      <c r="B37" s="74">
        <f>B34*(1-B36)</f>
        <v>117726.69120000002</v>
      </c>
    </row>
    <row r="38" spans="1:4" ht="15" customHeight="1" x14ac:dyDescent="0.3">
      <c r="A38" s="30" t="s">
        <v>57</v>
      </c>
      <c r="B38" s="74">
        <f>B37/Renewal_Input!$B$7</f>
        <v>65.403717333333347</v>
      </c>
    </row>
    <row r="39" spans="1:4" ht="15" customHeight="1" x14ac:dyDescent="0.3">
      <c r="A39" s="30" t="s">
        <v>58</v>
      </c>
      <c r="B39" s="74">
        <f>B38/12</f>
        <v>5.4503097777777789</v>
      </c>
    </row>
    <row r="40" spans="1:4" ht="15" customHeight="1" x14ac:dyDescent="0.3">
      <c r="A40" s="30" t="s">
        <v>120</v>
      </c>
      <c r="B40" s="33" t="str">
        <f>Renewal_Calculation!$B$63</f>
        <v>OK</v>
      </c>
    </row>
    <row r="42" spans="1:4" ht="15" customHeight="1" x14ac:dyDescent="0.3">
      <c r="A42" s="87" t="s">
        <v>59</v>
      </c>
      <c r="B42" s="87"/>
      <c r="C42" s="24"/>
      <c r="D42" s="24"/>
    </row>
    <row r="43" spans="1:4" ht="15" customHeight="1" x14ac:dyDescent="0.3">
      <c r="A43" s="30" t="s">
        <v>121</v>
      </c>
      <c r="B43" s="41" t="str">
        <f>Renewal_Calculation!$B$34</f>
        <v>On-Prem to Cloud</v>
      </c>
    </row>
    <row r="44" spans="1:4" ht="15" customHeight="1" x14ac:dyDescent="0.3">
      <c r="A44" s="39" t="s">
        <v>122</v>
      </c>
      <c r="B44" s="40">
        <f>Renewal_Calculation!$B$72</f>
        <v>15000</v>
      </c>
    </row>
    <row r="45" spans="1:4" ht="15" customHeight="1" x14ac:dyDescent="0.3">
      <c r="A45" s="39" t="s">
        <v>19</v>
      </c>
      <c r="B45" s="40">
        <f>Renewal_Calculation!$B$44*Renewal_Calculation!$B$69</f>
        <v>0</v>
      </c>
    </row>
    <row r="46" spans="1:4" ht="15" customHeight="1" x14ac:dyDescent="0.3">
      <c r="A46" s="39" t="s">
        <v>21</v>
      </c>
      <c r="B46" s="40">
        <f>Renewal_Calculation!$B$45*Renewal_Calculation!$B$69</f>
        <v>1600</v>
      </c>
    </row>
    <row r="47" spans="1:4" ht="15" customHeight="1" x14ac:dyDescent="0.3">
      <c r="A47" s="39" t="s">
        <v>22</v>
      </c>
      <c r="B47" s="40">
        <f>Renewal_Calculation!$B$46*Renewal_Calculation!$B$69</f>
        <v>0</v>
      </c>
    </row>
    <row r="48" spans="1:4" ht="15" customHeight="1" x14ac:dyDescent="0.3">
      <c r="A48" s="39" t="s">
        <v>24</v>
      </c>
      <c r="B48" s="40">
        <f>Renewal_Calculation!$B$47*Renewal_Calculation!$B$69</f>
        <v>0</v>
      </c>
    </row>
    <row r="49" spans="1:4" ht="15" customHeight="1" x14ac:dyDescent="0.3">
      <c r="A49" s="39" t="s">
        <v>26</v>
      </c>
      <c r="B49" s="40">
        <f>Renewal_Calculation!$B$48*Renewal_Calculation!$B$69</f>
        <v>0</v>
      </c>
    </row>
    <row r="50" spans="1:4" ht="15" customHeight="1" x14ac:dyDescent="0.3">
      <c r="A50" s="39" t="s">
        <v>27</v>
      </c>
      <c r="B50" s="40">
        <f>Renewal_Calculation!$B$49*Renewal_Calculation!$B$69</f>
        <v>0</v>
      </c>
    </row>
    <row r="51" spans="1:4" ht="15" customHeight="1" x14ac:dyDescent="0.3">
      <c r="A51" s="39" t="s">
        <v>28</v>
      </c>
      <c r="B51" s="40">
        <f>Renewal_Calculation!$B$50*Renewal_Calculation!$B$69</f>
        <v>0</v>
      </c>
    </row>
    <row r="52" spans="1:4" ht="15" customHeight="1" x14ac:dyDescent="0.3">
      <c r="A52" s="39" t="s">
        <v>29</v>
      </c>
      <c r="B52" s="40">
        <f>Renewal_Calculation!$B$51*Renewal_Calculation!$B$69</f>
        <v>0</v>
      </c>
    </row>
    <row r="53" spans="1:4" ht="15" customHeight="1" x14ac:dyDescent="0.3">
      <c r="A53" s="39" t="s">
        <v>30</v>
      </c>
      <c r="B53" s="40">
        <f>Renewal_Calculation!$B$52*Renewal_Calculation!$B$69</f>
        <v>0</v>
      </c>
    </row>
    <row r="54" spans="1:4" ht="15" customHeight="1" x14ac:dyDescent="0.3">
      <c r="A54" s="39" t="s">
        <v>31</v>
      </c>
      <c r="B54" s="40">
        <f>Renewal_Calculation!$B$53*Renewal_Calculation!$B$69</f>
        <v>0</v>
      </c>
    </row>
    <row r="55" spans="1:4" ht="15" customHeight="1" x14ac:dyDescent="0.3">
      <c r="A55" s="39" t="s">
        <v>32</v>
      </c>
      <c r="B55" s="40">
        <f>Renewal_Calculation!$B$54*Renewal_Calculation!$B$69</f>
        <v>0</v>
      </c>
    </row>
    <row r="57" spans="1:4" ht="15" customHeight="1" x14ac:dyDescent="0.3">
      <c r="A57" s="47" t="s">
        <v>123</v>
      </c>
      <c r="B57" s="48">
        <f>Renewal_Calculation!$B$74</f>
        <v>16600</v>
      </c>
    </row>
    <row r="58" spans="1:4" ht="15" customHeight="1" x14ac:dyDescent="0.3">
      <c r="A58" s="30" t="s">
        <v>124</v>
      </c>
      <c r="B58" s="39" t="str">
        <f>Renewal_Calculation!$B$58</f>
        <v>Deployment Migration — Escalate</v>
      </c>
    </row>
    <row r="60" spans="1:4" ht="25.5" customHeight="1" x14ac:dyDescent="0.3">
      <c r="A60" s="88" t="s">
        <v>125</v>
      </c>
      <c r="B60" s="88"/>
      <c r="C60" s="75"/>
      <c r="D60" s="75"/>
    </row>
    <row r="63" spans="1:4" ht="15" customHeight="1" x14ac:dyDescent="0.3">
      <c r="A63" s="101" t="s">
        <v>126</v>
      </c>
      <c r="B63" s="101"/>
      <c r="C63" s="24"/>
      <c r="D63" s="24"/>
    </row>
    <row r="64" spans="1:4" ht="15" customHeight="1" x14ac:dyDescent="0.3">
      <c r="A64" s="30" t="s">
        <v>127</v>
      </c>
      <c r="B64" s="39">
        <f>VALUE(LEFT(Renewal_Input!B25,1))</f>
        <v>2</v>
      </c>
    </row>
    <row r="65" spans="1:4" ht="15" customHeight="1" x14ac:dyDescent="0.3">
      <c r="A65" s="47" t="s">
        <v>128</v>
      </c>
      <c r="B65" s="48">
        <f>B34*B64+Renewal_Calculation!$B$74</f>
        <v>252053.38240000003</v>
      </c>
    </row>
    <row r="67" spans="1:4" ht="15" customHeight="1" x14ac:dyDescent="0.3">
      <c r="A67" s="89" t="s">
        <v>129</v>
      </c>
      <c r="B67" s="89"/>
      <c r="C67" s="24"/>
      <c r="D67" s="24"/>
    </row>
    <row r="68" spans="1:4" ht="15" customHeight="1" x14ac:dyDescent="0.3">
      <c r="A68" s="38" t="s">
        <v>68</v>
      </c>
      <c r="B68" s="38" t="s">
        <v>69</v>
      </c>
    </row>
    <row r="69" spans="1:4" ht="15" customHeight="1" x14ac:dyDescent="0.3">
      <c r="A69" s="39" t="s">
        <v>70</v>
      </c>
      <c r="B69" s="39" t="str">
        <f>Renewal_Calculation!$B$82</f>
        <v>Needs Review</v>
      </c>
    </row>
    <row r="70" spans="1:4" ht="15" customHeight="1" x14ac:dyDescent="0.3">
      <c r="A70" s="39" t="s">
        <v>71</v>
      </c>
      <c r="B70" s="39" t="str">
        <f>Renewal_Calculation!$B$83</f>
        <v>Needs Review</v>
      </c>
    </row>
    <row r="71" spans="1:4" ht="15" customHeight="1" x14ac:dyDescent="0.3">
      <c r="A71" s="39" t="s">
        <v>72</v>
      </c>
      <c r="B71" s="39" t="str">
        <f>Renewal_Calculation!$B$84</f>
        <v>Needs Review</v>
      </c>
    </row>
  </sheetData>
  <sheetProtection algorithmName="SHA-512" hashValue="XjgHxojKH/xV8tKXHQp48EsnREY7gewzcEoU7YMJAJl/3M6OvxFt0pBVW4H3Aclim4oRqck2mHUWk3tMKsei4Q==" saltValue="SZVe0VU7Qy295y238MfNEQ==" spinCount="100000" sheet="1" objects="1" scenarios="1"/>
  <protectedRanges>
    <protectedRange sqref="B3" name="Range3"/>
    <protectedRange sqref="B3" name="Range1"/>
    <protectedRange sqref="B36" name="Range2"/>
  </protectedRanges>
  <mergeCells count="8">
    <mergeCell ref="A1:B1"/>
    <mergeCell ref="A67:B67"/>
    <mergeCell ref="A17:B17"/>
    <mergeCell ref="A21:B21"/>
    <mergeCell ref="A16:B16"/>
    <mergeCell ref="A42:B42"/>
    <mergeCell ref="A63:B63"/>
    <mergeCell ref="A60:B60"/>
  </mergeCells>
  <conditionalFormatting sqref="B40">
    <cfRule type="cellIs" dxfId="7" priority="2" operator="equal">
      <formula>"OK"</formula>
    </cfRule>
    <cfRule type="cellIs" dxfId="6" priority="3" operator="notEqual">
      <formula>"OK"</formula>
    </cfRule>
  </conditionalFormatting>
  <conditionalFormatting sqref="B58">
    <cfRule type="cellIs" dxfId="5" priority="4" operator="equal">
      <formula>"OK"</formula>
    </cfRule>
    <cfRule type="cellIs" dxfId="4" priority="5" operator="notEqual">
      <formula>"OK"</formula>
    </cfRule>
  </conditionalFormatting>
  <conditionalFormatting sqref="B69:B71">
    <cfRule type="cellIs" dxfId="3" priority="6" operator="equal">
      <formula>"Approved"</formula>
    </cfRule>
    <cfRule type="cellIs" dxfId="2" priority="7" operator="notEqual">
      <formula>"Approved"</formula>
    </cfRule>
  </conditionalFormatting>
  <dataValidations count="1">
    <dataValidation type="list" sqref="B3" xr:uid="{00000000-0002-0000-0300-000000000000}">
      <formula1>"USD,GBP,EUR"</formula1>
      <formula2>0</formula2>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84"/>
  <sheetViews>
    <sheetView zoomScale="85" zoomScaleNormal="85" workbookViewId="0">
      <pane ySplit="1" topLeftCell="A2" activePane="bottomLeft" state="frozen"/>
      <selection pane="bottomLeft" activeCell="E85" sqref="E85"/>
    </sheetView>
  </sheetViews>
  <sheetFormatPr defaultColWidth="8.77734375" defaultRowHeight="14.4" x14ac:dyDescent="0.3"/>
  <cols>
    <col min="1" max="1" width="57.6640625" bestFit="1" customWidth="1"/>
    <col min="2" max="2" width="32.21875" bestFit="1" customWidth="1"/>
    <col min="3" max="3" width="16" customWidth="1"/>
    <col min="4" max="4" width="9.5546875" bestFit="1" customWidth="1"/>
    <col min="5" max="5" width="33.77734375" customWidth="1"/>
  </cols>
  <sheetData>
    <row r="1" spans="1:5" s="70" customFormat="1" ht="30" customHeight="1" x14ac:dyDescent="0.3">
      <c r="A1" s="106" t="s">
        <v>359</v>
      </c>
      <c r="B1" s="106"/>
      <c r="C1" s="106"/>
      <c r="D1" s="106"/>
      <c r="E1" s="106"/>
    </row>
    <row r="3" spans="1:5" ht="15" customHeight="1" x14ac:dyDescent="0.3">
      <c r="A3" s="56" t="s">
        <v>360</v>
      </c>
      <c r="B3" s="56"/>
      <c r="C3" s="24"/>
      <c r="D3" s="24"/>
    </row>
    <row r="4" spans="1:5" ht="15" customHeight="1" x14ac:dyDescent="0.3">
      <c r="A4" s="30" t="s">
        <v>116</v>
      </c>
      <c r="B4" s="40">
        <f>Renewal_Input!B4</f>
        <v>88696.8</v>
      </c>
    </row>
    <row r="5" spans="1:5" ht="15" customHeight="1" x14ac:dyDescent="0.3">
      <c r="A5" s="30" t="s">
        <v>361</v>
      </c>
      <c r="B5" s="78">
        <f>Lookup_Tables!$B$87</f>
        <v>7.0000000000000007E-2</v>
      </c>
    </row>
    <row r="6" spans="1:5" ht="15" customHeight="1" x14ac:dyDescent="0.3">
      <c r="A6" s="52" t="s">
        <v>360</v>
      </c>
      <c r="B6" s="53">
        <f>B4*(1+B5)</f>
        <v>94905.576000000015</v>
      </c>
    </row>
    <row r="8" spans="1:5" ht="15" customHeight="1" x14ac:dyDescent="0.3">
      <c r="A8" s="56" t="s">
        <v>362</v>
      </c>
      <c r="B8" s="56"/>
      <c r="C8" s="24"/>
      <c r="D8" s="24"/>
    </row>
    <row r="9" spans="1:5" ht="15" customHeight="1" x14ac:dyDescent="0.3">
      <c r="A9" s="30" t="s">
        <v>46</v>
      </c>
      <c r="B9" s="41" t="str">
        <f>Renewal_Input!B8</f>
        <v>Mid</v>
      </c>
    </row>
    <row r="10" spans="1:5" ht="15" customHeight="1" x14ac:dyDescent="0.3">
      <c r="A10" s="30" t="s">
        <v>13</v>
      </c>
      <c r="B10" s="41" t="str">
        <f>Renewal_Input!B5</f>
        <v>Data Security Advanced</v>
      </c>
    </row>
    <row r="11" spans="1:5" ht="15" customHeight="1" x14ac:dyDescent="0.3">
      <c r="A11" s="30" t="s">
        <v>363</v>
      </c>
      <c r="B11" s="61">
        <f>INDEX(Lookup_Tables!$B$14:$E$15,MATCH($B$10,Lookup_Tables!$A$14:$A$15,0),MATCH($B$9,Lookup_Tables!$B$13:$E$13,0))</f>
        <v>48000</v>
      </c>
    </row>
    <row r="13" spans="1:5" ht="15" customHeight="1" x14ac:dyDescent="0.3">
      <c r="A13" s="89" t="s">
        <v>364</v>
      </c>
      <c r="B13" s="89"/>
      <c r="C13" s="89"/>
      <c r="D13" s="89"/>
      <c r="E13" s="89"/>
    </row>
    <row r="14" spans="1:5" ht="15" customHeight="1" x14ac:dyDescent="0.3">
      <c r="A14" s="38" t="s">
        <v>278</v>
      </c>
      <c r="B14" s="38" t="s">
        <v>365</v>
      </c>
      <c r="C14" s="38" t="s">
        <v>366</v>
      </c>
      <c r="D14" s="38" t="s">
        <v>279</v>
      </c>
      <c r="E14" s="38" t="s">
        <v>286</v>
      </c>
    </row>
    <row r="15" spans="1:5" ht="15" customHeight="1" x14ac:dyDescent="0.3">
      <c r="A15" s="39" t="s">
        <v>19</v>
      </c>
      <c r="B15" s="37" t="str">
        <f>Renewal_Input!B12</f>
        <v>Yes</v>
      </c>
      <c r="C15" s="37" t="str">
        <f>Renewal_Input!B26</f>
        <v>No Change</v>
      </c>
      <c r="D15" s="78">
        <f>Lookup_Tables!$B$21</f>
        <v>0.25</v>
      </c>
      <c r="E15" s="57">
        <f>IF(AND(C15="Add",B15="No"),$B$11*D15,IF(AND(C15="Remove",B15="Yes"),-$B$11*D15,0))</f>
        <v>0</v>
      </c>
    </row>
    <row r="16" spans="1:5" ht="15" customHeight="1" x14ac:dyDescent="0.3">
      <c r="A16" s="39" t="s">
        <v>21</v>
      </c>
      <c r="B16" s="37" t="str">
        <f>Renewal_Input!B13</f>
        <v>No</v>
      </c>
      <c r="C16" s="37" t="str">
        <f>Renewal_Input!B27</f>
        <v>Add</v>
      </c>
      <c r="D16" s="78">
        <f>Lookup_Tables!$B$22</f>
        <v>0.08</v>
      </c>
      <c r="E16" s="57">
        <f>IF(AND(C16="Add",B16="No"),$B$11*D16,IF(AND(C16="Remove",B16="Yes"),-$B$11*D16,0))</f>
        <v>3840</v>
      </c>
    </row>
    <row r="17" spans="1:5" ht="15" customHeight="1" x14ac:dyDescent="0.3">
      <c r="A17" s="39" t="s">
        <v>22</v>
      </c>
      <c r="B17" s="37" t="str">
        <f>Renewal_Input!B14</f>
        <v>No</v>
      </c>
      <c r="C17" s="37" t="str">
        <f>Renewal_Input!B28</f>
        <v>No Change</v>
      </c>
      <c r="D17" s="78">
        <f>Lookup_Tables!$B$23</f>
        <v>0.08</v>
      </c>
      <c r="E17" s="57">
        <f>IF(AND(C17="Add",B17="No"),$B$11*D17,IF(AND(C17="Remove",B17="Yes"),-$B$11*D17,0))</f>
        <v>0</v>
      </c>
    </row>
    <row r="18" spans="1:5" ht="15" customHeight="1" x14ac:dyDescent="0.3">
      <c r="A18" s="39" t="s">
        <v>24</v>
      </c>
      <c r="B18" s="37" t="str">
        <f>Renewal_Input!B15</f>
        <v>No</v>
      </c>
      <c r="C18" s="37" t="str">
        <f>Renewal_Input!B29</f>
        <v>No Change</v>
      </c>
      <c r="D18" s="78">
        <f>Lookup_Tables!$B$24</f>
        <v>0.1</v>
      </c>
      <c r="E18" s="57">
        <f>IF(AND(C18="Add",B18="No"),$B$11*D18,IF(AND(C18="Remove",B18="Yes"),-$B$11*D18,0))</f>
        <v>0</v>
      </c>
    </row>
    <row r="20" spans="1:5" ht="15" customHeight="1" x14ac:dyDescent="0.3">
      <c r="A20" s="89" t="s">
        <v>367</v>
      </c>
      <c r="B20" s="89"/>
      <c r="C20" s="89"/>
      <c r="D20" s="89"/>
      <c r="E20" s="89"/>
    </row>
    <row r="21" spans="1:5" ht="15" customHeight="1" x14ac:dyDescent="0.3">
      <c r="A21" s="38" t="s">
        <v>282</v>
      </c>
      <c r="B21" s="38" t="s">
        <v>365</v>
      </c>
      <c r="C21" s="38" t="s">
        <v>366</v>
      </c>
      <c r="D21" s="38" t="s">
        <v>329</v>
      </c>
      <c r="E21" s="38" t="s">
        <v>286</v>
      </c>
    </row>
    <row r="22" spans="1:5" ht="15" customHeight="1" x14ac:dyDescent="0.3">
      <c r="A22" s="39" t="s">
        <v>26</v>
      </c>
      <c r="B22" s="37" t="str">
        <f>Renewal_Input!B16</f>
        <v>No</v>
      </c>
      <c r="C22" s="37" t="str">
        <f>Renewal_Input!B30</f>
        <v>No Change</v>
      </c>
      <c r="D22" s="57">
        <f>INDEX(Lookup_Tables!$B$30:$E$30,MATCH($B$9,Lookup_Tables!$B$29:$E$29,0))</f>
        <v>11000</v>
      </c>
      <c r="E22" s="57">
        <f t="shared" ref="E22:E28" si="0">IF(AND(C22="Add",B22="No"),D22,IF(AND(C22="Remove",B22="Yes"),-D22,0))</f>
        <v>0</v>
      </c>
    </row>
    <row r="23" spans="1:5" ht="15" customHeight="1" x14ac:dyDescent="0.3">
      <c r="A23" s="39" t="s">
        <v>27</v>
      </c>
      <c r="B23" s="37" t="str">
        <f>Renewal_Input!B17</f>
        <v>No</v>
      </c>
      <c r="C23" s="37" t="str">
        <f>Renewal_Input!B31</f>
        <v>No Change</v>
      </c>
      <c r="D23" s="57">
        <f>INDEX(Lookup_Tables!$B$31:$E$31,MATCH($B$9,Lookup_Tables!$B$29:$E$29,0))</f>
        <v>13000</v>
      </c>
      <c r="E23" s="57">
        <f t="shared" si="0"/>
        <v>0</v>
      </c>
    </row>
    <row r="24" spans="1:5" ht="15" customHeight="1" x14ac:dyDescent="0.3">
      <c r="A24" s="39" t="s">
        <v>28</v>
      </c>
      <c r="B24" s="37" t="str">
        <f>Renewal_Input!B18</f>
        <v>No</v>
      </c>
      <c r="C24" s="37" t="str">
        <f>Renewal_Input!B32</f>
        <v>No Change</v>
      </c>
      <c r="D24" s="57">
        <f>INDEX(Lookup_Tables!$B$32:$E$32,MATCH($B$9,Lookup_Tables!$B$29:$E$29,0))</f>
        <v>12000</v>
      </c>
      <c r="E24" s="57">
        <f t="shared" si="0"/>
        <v>0</v>
      </c>
    </row>
    <row r="25" spans="1:5" ht="15" customHeight="1" x14ac:dyDescent="0.3">
      <c r="A25" s="39" t="s">
        <v>29</v>
      </c>
      <c r="B25" s="37" t="str">
        <f>Renewal_Input!B19</f>
        <v>No</v>
      </c>
      <c r="C25" s="37" t="str">
        <f>Renewal_Input!B33</f>
        <v>No Change</v>
      </c>
      <c r="D25" s="57">
        <f>INDEX(Lookup_Tables!$B$33:$E$33,MATCH($B$9,Lookup_Tables!$B$29:$E$29,0))</f>
        <v>14000</v>
      </c>
      <c r="E25" s="57">
        <f t="shared" si="0"/>
        <v>0</v>
      </c>
    </row>
    <row r="26" spans="1:5" ht="15" customHeight="1" x14ac:dyDescent="0.3">
      <c r="A26" s="39" t="s">
        <v>30</v>
      </c>
      <c r="B26" s="37" t="str">
        <f>Renewal_Input!B20</f>
        <v>No</v>
      </c>
      <c r="C26" s="37" t="str">
        <f>Renewal_Input!B34</f>
        <v>No Change</v>
      </c>
      <c r="D26" s="57">
        <f>INDEX(Lookup_Tables!$B$34:$E$34,MATCH($B$9,Lookup_Tables!$B$29:$E$29,0))</f>
        <v>5500</v>
      </c>
      <c r="E26" s="57">
        <f t="shared" si="0"/>
        <v>0</v>
      </c>
    </row>
    <row r="27" spans="1:5" ht="15" customHeight="1" x14ac:dyDescent="0.3">
      <c r="A27" s="39" t="s">
        <v>31</v>
      </c>
      <c r="B27" s="37" t="str">
        <f>Renewal_Input!B21</f>
        <v>No</v>
      </c>
      <c r="C27" s="37" t="str">
        <f>Renewal_Input!B35</f>
        <v>No Change</v>
      </c>
      <c r="D27" s="57">
        <f>INDEX(Lookup_Tables!$B$35:$E$35,MATCH($B$9,Lookup_Tables!$B$29:$E$29,0))</f>
        <v>3500</v>
      </c>
      <c r="E27" s="57">
        <f t="shared" si="0"/>
        <v>0</v>
      </c>
    </row>
    <row r="28" spans="1:5" ht="15" customHeight="1" x14ac:dyDescent="0.3">
      <c r="A28" s="39" t="s">
        <v>32</v>
      </c>
      <c r="B28" s="37" t="str">
        <f>Renewal_Input!B22</f>
        <v>No</v>
      </c>
      <c r="C28" s="37" t="str">
        <f>Renewal_Input!B36</f>
        <v>No Change</v>
      </c>
      <c r="D28" s="57">
        <f>INDEX(Lookup_Tables!$B$36:$E$36,MATCH($B$9,Lookup_Tables!$B$29:$E$29,0))</f>
        <v>7000</v>
      </c>
      <c r="E28" s="57">
        <f t="shared" si="0"/>
        <v>0</v>
      </c>
    </row>
    <row r="30" spans="1:5" ht="15" customHeight="1" x14ac:dyDescent="0.3">
      <c r="A30" s="7" t="s">
        <v>368</v>
      </c>
      <c r="E30" s="53">
        <f>E15+E16+E17+E18+E22+E23+E24+E25+E26+E27+E28</f>
        <v>3840</v>
      </c>
    </row>
    <row r="31" spans="1:5" ht="15" customHeight="1" x14ac:dyDescent="0.3">
      <c r="A31" s="52" t="s">
        <v>369</v>
      </c>
      <c r="B31" s="53">
        <f>B6+E30</f>
        <v>98745.576000000015</v>
      </c>
    </row>
    <row r="33" spans="1:4" ht="15" customHeight="1" x14ac:dyDescent="0.3">
      <c r="A33" s="107" t="s">
        <v>370</v>
      </c>
      <c r="B33" s="108"/>
      <c r="C33" s="24"/>
      <c r="D33" s="24"/>
    </row>
    <row r="34" spans="1:4" ht="15" customHeight="1" x14ac:dyDescent="0.3">
      <c r="A34" s="30" t="s">
        <v>121</v>
      </c>
      <c r="B34" s="41" t="str">
        <f>Renewal_Input!B37</f>
        <v>On-Prem to Cloud</v>
      </c>
    </row>
    <row r="35" spans="1:4" ht="15" customHeight="1" x14ac:dyDescent="0.3">
      <c r="A35" s="30" t="s">
        <v>78</v>
      </c>
      <c r="B35" s="41" t="str">
        <f>Renewal_Input!B6</f>
        <v>On-Prem</v>
      </c>
    </row>
    <row r="36" spans="1:4" ht="15" customHeight="1" x14ac:dyDescent="0.3">
      <c r="A36" s="30" t="s">
        <v>371</v>
      </c>
      <c r="B36" s="33" t="str">
        <f>IF(B34="On-Prem to Cloud","Cloud",IF(B34="Cloud to On-Prem","On-Prem",B35))</f>
        <v>Cloud</v>
      </c>
    </row>
    <row r="37" spans="1:4" ht="15" customHeight="1" x14ac:dyDescent="0.3">
      <c r="A37" s="30" t="s">
        <v>372</v>
      </c>
      <c r="B37" s="79">
        <f>IF(B35="Cloud",Lookup_Tables!$B$44,Lookup_Tables!$B$45)</f>
        <v>1</v>
      </c>
    </row>
    <row r="38" spans="1:4" ht="15" customHeight="1" x14ac:dyDescent="0.3">
      <c r="A38" s="30" t="s">
        <v>373</v>
      </c>
      <c r="B38" s="79">
        <f>IF(B36="Cloud",Lookup_Tables!$B$44,Lookup_Tables!$B$45)</f>
        <v>1.2</v>
      </c>
    </row>
    <row r="39" spans="1:4" ht="15" customHeight="1" x14ac:dyDescent="0.3">
      <c r="A39" s="30" t="s">
        <v>374</v>
      </c>
      <c r="B39" s="61">
        <f>IF(B34&lt;&gt;"No",B6*(B38/B37-1),0)</f>
        <v>18981.1152</v>
      </c>
    </row>
    <row r="40" spans="1:4" ht="15" customHeight="1" x14ac:dyDescent="0.3">
      <c r="A40" s="30" t="s">
        <v>375</v>
      </c>
      <c r="B40" s="57">
        <f>IF(B34&lt;&gt;"No",INDEX(Lookup_Tables!$B$54:$E$66,MATCH(IF(B36="Cloud","Core Platform — Cloud","Core Platform — On-Prem"),Lookup_Tables!$A$54:$A$66,0),MATCH($B$9,Lookup_Tables!$B$13:$E$13,0)),0)</f>
        <v>15000</v>
      </c>
    </row>
    <row r="42" spans="1:4" ht="15" customHeight="1" x14ac:dyDescent="0.3">
      <c r="A42" s="21" t="s">
        <v>376</v>
      </c>
      <c r="B42" s="21"/>
      <c r="C42" s="24"/>
      <c r="D42" s="24"/>
    </row>
    <row r="43" spans="1:4" ht="15" customHeight="1" x14ac:dyDescent="0.3">
      <c r="A43" s="95" t="s">
        <v>377</v>
      </c>
      <c r="B43" s="95"/>
      <c r="C43" s="95"/>
      <c r="D43" s="95"/>
    </row>
    <row r="44" spans="1:4" ht="15" customHeight="1" x14ac:dyDescent="0.3">
      <c r="A44" s="30" t="s">
        <v>339</v>
      </c>
      <c r="B44" s="57">
        <f>IF(AND(Renewal_Input!B26="Add",Renewal_Input!B12="No"),INDEX(Lookup_Tables!$B$56:$E$56,MATCH($B$9,Lookup_Tables!$B$13:$E$13,0)),0)</f>
        <v>0</v>
      </c>
    </row>
    <row r="45" spans="1:4" ht="15" customHeight="1" x14ac:dyDescent="0.3">
      <c r="A45" s="30" t="s">
        <v>340</v>
      </c>
      <c r="B45" s="57">
        <f>IF(AND(Renewal_Input!B27="Add",Renewal_Input!B13="No"),INDEX(Lookup_Tables!$B$57:$E$57,MATCH($B$9,Lookup_Tables!$B$13:$E$13,0)),0)</f>
        <v>1600</v>
      </c>
    </row>
    <row r="46" spans="1:4" ht="15" customHeight="1" x14ac:dyDescent="0.3">
      <c r="A46" s="30" t="s">
        <v>341</v>
      </c>
      <c r="B46" s="57">
        <f>IF(AND(Renewal_Input!B28="Add",Renewal_Input!B14="No"),INDEX(Lookup_Tables!$B$58:$E$58,MATCH($B$9,Lookup_Tables!$B$13:$E$13,0)),0)</f>
        <v>0</v>
      </c>
    </row>
    <row r="47" spans="1:4" ht="15" customHeight="1" x14ac:dyDescent="0.3">
      <c r="A47" s="30" t="s">
        <v>342</v>
      </c>
      <c r="B47" s="57">
        <f>IF(AND(Renewal_Input!B29="Add",Renewal_Input!B15="No"),INDEX(Lookup_Tables!$B$59:$E$59,MATCH($B$9,Lookup_Tables!$B$13:$E$13,0)),0)</f>
        <v>0</v>
      </c>
    </row>
    <row r="48" spans="1:4" ht="15" customHeight="1" x14ac:dyDescent="0.3">
      <c r="A48" s="30" t="s">
        <v>343</v>
      </c>
      <c r="B48" s="57">
        <f>IF(AND(Renewal_Input!B30="Add",Renewal_Input!B16="No"),INDEX(Lookup_Tables!$B$60:$E$60,MATCH($B$9,Lookup_Tables!$B$13:$E$13,0)),0)</f>
        <v>0</v>
      </c>
    </row>
    <row r="49" spans="1:4" ht="15" customHeight="1" x14ac:dyDescent="0.3">
      <c r="A49" s="30" t="s">
        <v>344</v>
      </c>
      <c r="B49" s="57">
        <f>IF(AND(Renewal_Input!B31="Add",Renewal_Input!B17="No"),INDEX(Lookup_Tables!$B$61:$E$61,MATCH($B$9,Lookup_Tables!$B$13:$E$13,0)),0)</f>
        <v>0</v>
      </c>
    </row>
    <row r="50" spans="1:4" ht="15" customHeight="1" x14ac:dyDescent="0.3">
      <c r="A50" s="30" t="s">
        <v>345</v>
      </c>
      <c r="B50" s="57">
        <f>IF(AND(Renewal_Input!B32="Add",Renewal_Input!B18="No"),INDEX(Lookup_Tables!$B$62:$E$62,MATCH($B$9,Lookup_Tables!$B$13:$E$13,0)),0)</f>
        <v>0</v>
      </c>
    </row>
    <row r="51" spans="1:4" ht="15" customHeight="1" x14ac:dyDescent="0.3">
      <c r="A51" s="30" t="s">
        <v>346</v>
      </c>
      <c r="B51" s="57">
        <f>IF(AND(Renewal_Input!B33="Add",Renewal_Input!B19="No"),INDEX(Lookup_Tables!$B$63:$E$63,MATCH($B$9,Lookup_Tables!$B$13:$E$13,0)),0)</f>
        <v>0</v>
      </c>
    </row>
    <row r="52" spans="1:4" ht="15" customHeight="1" x14ac:dyDescent="0.3">
      <c r="A52" s="30" t="s">
        <v>347</v>
      </c>
      <c r="B52" s="57">
        <f>IF(AND(Renewal_Input!B34="Add",Renewal_Input!B20="No"),INDEX(Lookup_Tables!$B$64:$E$64,MATCH($B$9,Lookup_Tables!$B$13:$E$13,0)),0)</f>
        <v>0</v>
      </c>
    </row>
    <row r="53" spans="1:4" ht="15" customHeight="1" x14ac:dyDescent="0.3">
      <c r="A53" s="30" t="s">
        <v>348</v>
      </c>
      <c r="B53" s="57">
        <f>IF(AND(Renewal_Input!B35="Add",Renewal_Input!B21="No"),INDEX(Lookup_Tables!$B$65:$E$65,MATCH($B$9,Lookup_Tables!$B$13:$E$13,0)),0)</f>
        <v>0</v>
      </c>
    </row>
    <row r="54" spans="1:4" ht="15" customHeight="1" x14ac:dyDescent="0.3">
      <c r="A54" s="30" t="s">
        <v>349</v>
      </c>
      <c r="B54" s="57">
        <f>IF(AND(Renewal_Input!B36="Add",Renewal_Input!B22="No"),INDEX(Lookup_Tables!$B$66:$E$66,MATCH($B$9,Lookup_Tables!$B$13:$E$13,0)),0)</f>
        <v>0</v>
      </c>
    </row>
    <row r="56" spans="1:4" ht="15" customHeight="1" x14ac:dyDescent="0.3">
      <c r="A56" s="52" t="s">
        <v>378</v>
      </c>
      <c r="B56" s="53">
        <f>B44+B45+B46+B47+B48+B49+B50+B51+B52+B53+B54</f>
        <v>1600</v>
      </c>
    </row>
    <row r="58" spans="1:4" ht="15" customHeight="1" x14ac:dyDescent="0.3">
      <c r="A58" s="30" t="s">
        <v>124</v>
      </c>
      <c r="B58" s="80" t="str">
        <f>IF(B34&lt;&gt;"No","Deployment Migration — Escalate","OK")</f>
        <v>Deployment Migration — Escalate</v>
      </c>
    </row>
    <row r="60" spans="1:4" ht="15" customHeight="1" x14ac:dyDescent="0.3">
      <c r="A60" s="85" t="s">
        <v>379</v>
      </c>
      <c r="B60" s="85"/>
      <c r="C60" s="24"/>
      <c r="D60" s="24"/>
    </row>
    <row r="61" spans="1:4" ht="15" customHeight="1" x14ac:dyDescent="0.3">
      <c r="A61" s="52" t="s">
        <v>380</v>
      </c>
      <c r="B61" s="73">
        <f>B31+B39</f>
        <v>117726.69120000002</v>
      </c>
    </row>
    <row r="62" spans="1:4" ht="15" customHeight="1" x14ac:dyDescent="0.3">
      <c r="A62" s="30" t="s">
        <v>381</v>
      </c>
      <c r="B62" s="61">
        <f>B61-B4</f>
        <v>29029.891200000013</v>
      </c>
    </row>
    <row r="63" spans="1:4" ht="15" customHeight="1" x14ac:dyDescent="0.3">
      <c r="A63" s="30" t="s">
        <v>120</v>
      </c>
      <c r="B63" s="81" t="str">
        <f>IF(B62&lt;0,"Renewal Shrinkage — Escalate","OK")</f>
        <v>OK</v>
      </c>
    </row>
    <row r="65" spans="1:4" ht="15" customHeight="1" x14ac:dyDescent="0.3">
      <c r="A65" s="85" t="s">
        <v>351</v>
      </c>
      <c r="B65" s="85"/>
      <c r="D65" s="24"/>
    </row>
    <row r="66" spans="1:4" ht="15" customHeight="1" x14ac:dyDescent="0.3">
      <c r="A66" s="30" t="s">
        <v>382</v>
      </c>
      <c r="B66" s="41" t="str">
        <f>Renewal_Overview!$B$3</f>
        <v>USD</v>
      </c>
    </row>
    <row r="67" spans="1:4" ht="15" customHeight="1" x14ac:dyDescent="0.3">
      <c r="A67" s="30" t="s">
        <v>320</v>
      </c>
      <c r="B67" s="64">
        <f>INDEX(Lookup_Tables!$B$93:$B$95,MATCH(B66,Lookup_Tables!$A$93:$A$95,0))</f>
        <v>1</v>
      </c>
    </row>
    <row r="68" spans="1:4" ht="15" customHeight="1" x14ac:dyDescent="0.3">
      <c r="A68" s="30" t="s">
        <v>354</v>
      </c>
      <c r="B68" s="65"/>
    </row>
    <row r="69" spans="1:4" ht="15" customHeight="1" x14ac:dyDescent="0.3">
      <c r="A69" s="52" t="s">
        <v>383</v>
      </c>
      <c r="B69" s="66">
        <f>IF(B68="",B67,B68)</f>
        <v>1</v>
      </c>
    </row>
    <row r="71" spans="1:4" ht="15" customHeight="1" x14ac:dyDescent="0.3">
      <c r="A71" s="30" t="s">
        <v>384</v>
      </c>
      <c r="B71" s="57">
        <f>B61*B69</f>
        <v>117726.69120000002</v>
      </c>
    </row>
    <row r="72" spans="1:4" ht="15" customHeight="1" x14ac:dyDescent="0.3">
      <c r="A72" s="30" t="s">
        <v>385</v>
      </c>
      <c r="B72" s="57">
        <f>B40*B69</f>
        <v>15000</v>
      </c>
    </row>
    <row r="73" spans="1:4" ht="15" customHeight="1" x14ac:dyDescent="0.3">
      <c r="A73" s="30" t="s">
        <v>386</v>
      </c>
      <c r="B73" s="57">
        <f>B56*B69</f>
        <v>1600</v>
      </c>
    </row>
    <row r="74" spans="1:4" ht="15" customHeight="1" x14ac:dyDescent="0.3">
      <c r="A74" s="52" t="s">
        <v>387</v>
      </c>
      <c r="B74" s="53">
        <f>B72+B73</f>
        <v>16600</v>
      </c>
    </row>
    <row r="75" spans="1:4" ht="15" customHeight="1" x14ac:dyDescent="0.3">
      <c r="A75" s="30" t="s">
        <v>388</v>
      </c>
      <c r="B75" s="57">
        <f>B4*B69</f>
        <v>88696.8</v>
      </c>
    </row>
    <row r="77" spans="1:4" ht="25.5" customHeight="1" x14ac:dyDescent="0.3">
      <c r="A77" s="88" t="s">
        <v>125</v>
      </c>
      <c r="B77" s="88"/>
      <c r="C77" s="105"/>
      <c r="D77" s="105"/>
    </row>
    <row r="80" spans="1:4" ht="15" customHeight="1" x14ac:dyDescent="0.3">
      <c r="A80" s="84" t="s">
        <v>358</v>
      </c>
      <c r="B80" s="84"/>
      <c r="C80" s="24"/>
      <c r="D80" s="24"/>
    </row>
    <row r="81" spans="1:2" ht="15" customHeight="1" x14ac:dyDescent="0.3">
      <c r="A81" s="6" t="s">
        <v>68</v>
      </c>
      <c r="B81" s="6" t="s">
        <v>69</v>
      </c>
    </row>
    <row r="82" spans="1:2" ht="15" customHeight="1" x14ac:dyDescent="0.3">
      <c r="A82" s="1" t="s">
        <v>70</v>
      </c>
      <c r="B82" s="4" t="s">
        <v>182</v>
      </c>
    </row>
    <row r="83" spans="1:2" ht="15" customHeight="1" x14ac:dyDescent="0.3">
      <c r="A83" s="1" t="s">
        <v>71</v>
      </c>
      <c r="B83" s="4" t="s">
        <v>182</v>
      </c>
    </row>
    <row r="84" spans="1:2" ht="15" customHeight="1" x14ac:dyDescent="0.3">
      <c r="A84" s="1" t="s">
        <v>72</v>
      </c>
      <c r="B84" s="4" t="s">
        <v>182</v>
      </c>
    </row>
  </sheetData>
  <mergeCells count="10">
    <mergeCell ref="A1:E1"/>
    <mergeCell ref="A13:E13"/>
    <mergeCell ref="A20:E20"/>
    <mergeCell ref="A43:D43"/>
    <mergeCell ref="A33:B33"/>
    <mergeCell ref="A60:B60"/>
    <mergeCell ref="A65:B65"/>
    <mergeCell ref="C77:D77"/>
    <mergeCell ref="A77:B77"/>
    <mergeCell ref="A80:B80"/>
  </mergeCells>
  <conditionalFormatting sqref="B82:B84">
    <cfRule type="cellIs" dxfId="1" priority="2" operator="equal">
      <formula>"Approved"</formula>
    </cfRule>
    <cfRule type="cellIs" dxfId="0" priority="3" operator="notEqual">
      <formula>"Approved"</formula>
    </cfRule>
  </conditionalFormatting>
  <dataValidations count="1">
    <dataValidation type="list" sqref="B82:B84" xr:uid="{00000000-0002-0000-0800-000000000000}">
      <formula1>"Needs Review,Approved"</formula1>
      <formula2>0</formula2>
    </dataValidation>
  </dataValidation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9"/>
  <sheetViews>
    <sheetView zoomScale="70" zoomScaleNormal="70" workbookViewId="0">
      <pane ySplit="1" topLeftCell="A9" activePane="bottomLeft" state="frozen"/>
      <selection pane="bottomLeft" activeCell="C18" sqref="C18"/>
    </sheetView>
  </sheetViews>
  <sheetFormatPr defaultColWidth="8.77734375" defaultRowHeight="14.4" x14ac:dyDescent="0.3"/>
  <cols>
    <col min="1" max="1" width="40.109375" bestFit="1" customWidth="1"/>
    <col min="2" max="2" width="40.5546875" bestFit="1" customWidth="1"/>
    <col min="3" max="3" width="33.109375" bestFit="1" customWidth="1"/>
    <col min="4" max="4" width="54.44140625" bestFit="1" customWidth="1"/>
  </cols>
  <sheetData>
    <row r="1" spans="1:4" ht="19.5" customHeight="1" x14ac:dyDescent="0.3">
      <c r="A1" s="86" t="s">
        <v>130</v>
      </c>
      <c r="B1" s="86"/>
      <c r="C1" s="86"/>
      <c r="D1" s="86"/>
    </row>
    <row r="3" spans="1:4" ht="54.75" customHeight="1" x14ac:dyDescent="0.3">
      <c r="A3" s="109" t="s">
        <v>131</v>
      </c>
      <c r="B3" s="109"/>
      <c r="C3" s="109"/>
      <c r="D3" s="109"/>
    </row>
    <row r="6" spans="1:4" ht="15" customHeight="1" x14ac:dyDescent="0.3">
      <c r="A6" s="6" t="s">
        <v>132</v>
      </c>
      <c r="B6" s="6" t="s">
        <v>133</v>
      </c>
      <c r="C6" s="6" t="s">
        <v>134</v>
      </c>
      <c r="D6" s="6" t="s">
        <v>135</v>
      </c>
    </row>
    <row r="7" spans="1:4" ht="43.5" customHeight="1" x14ac:dyDescent="0.3">
      <c r="A7" s="1" t="s">
        <v>136</v>
      </c>
      <c r="B7" s="10">
        <v>0.7</v>
      </c>
      <c r="C7" s="1" t="s">
        <v>137</v>
      </c>
      <c r="D7" s="11" t="s">
        <v>138</v>
      </c>
    </row>
    <row r="8" spans="1:4" ht="43.5" customHeight="1" x14ac:dyDescent="0.3">
      <c r="A8" s="1" t="s">
        <v>139</v>
      </c>
      <c r="B8" s="10">
        <v>0.95</v>
      </c>
      <c r="C8" s="1" t="s">
        <v>140</v>
      </c>
      <c r="D8" s="11" t="s">
        <v>141</v>
      </c>
    </row>
    <row r="9" spans="1:4" ht="43.5" customHeight="1" x14ac:dyDescent="0.3">
      <c r="A9" s="1" t="s">
        <v>142</v>
      </c>
      <c r="B9" s="10">
        <v>0.9</v>
      </c>
      <c r="C9" s="1" t="s">
        <v>143</v>
      </c>
      <c r="D9" s="11" t="s">
        <v>144</v>
      </c>
    </row>
    <row r="10" spans="1:4" ht="43.5" customHeight="1" x14ac:dyDescent="0.3">
      <c r="A10" s="1" t="s">
        <v>145</v>
      </c>
      <c r="B10" s="10">
        <v>1.05</v>
      </c>
      <c r="C10" s="1" t="s">
        <v>146</v>
      </c>
      <c r="D10" s="11" t="s">
        <v>147</v>
      </c>
    </row>
    <row r="12" spans="1:4" ht="51" customHeight="1" x14ac:dyDescent="0.3">
      <c r="A12" s="93" t="s">
        <v>148</v>
      </c>
      <c r="B12" s="93"/>
      <c r="C12" s="93"/>
      <c r="D12" s="93"/>
    </row>
    <row r="14" spans="1:4" ht="15" customHeight="1" x14ac:dyDescent="0.3">
      <c r="A14" s="92" t="s">
        <v>149</v>
      </c>
      <c r="B14" s="92"/>
      <c r="C14" s="92"/>
      <c r="D14" s="92"/>
    </row>
    <row r="15" spans="1:4" ht="15" customHeight="1" x14ac:dyDescent="0.3">
      <c r="A15" s="30" t="s">
        <v>150</v>
      </c>
      <c r="B15" s="43">
        <f>NB_Pricing_Calculation!$B$31</f>
        <v>95843.76</v>
      </c>
    </row>
    <row r="16" spans="1:4" ht="15" customHeight="1" x14ac:dyDescent="0.3">
      <c r="A16" s="30" t="s">
        <v>151</v>
      </c>
      <c r="B16" s="31" t="s">
        <v>136</v>
      </c>
    </row>
    <row r="17" spans="1:2" ht="15" customHeight="1" x14ac:dyDescent="0.3">
      <c r="A17" s="30" t="s">
        <v>152</v>
      </c>
      <c r="B17" s="61">
        <f>B15*INDEX(Competitive_Benchmark!$B$7:$B$10,MATCH(B16,Competitive_Benchmark!$A$7:$A$10,0))</f>
        <v>67090.631999999998</v>
      </c>
    </row>
    <row r="18" spans="1:2" ht="15" customHeight="1" x14ac:dyDescent="0.3">
      <c r="A18" s="52" t="s">
        <v>153</v>
      </c>
      <c r="B18" s="73">
        <f>B15-B17</f>
        <v>28753.127999999997</v>
      </c>
    </row>
    <row r="19" spans="1:2" ht="15" customHeight="1" x14ac:dyDescent="0.3">
      <c r="A19" s="30" t="s">
        <v>154</v>
      </c>
      <c r="B19" s="83">
        <f>IFERROR(B18/B17,"n/a")</f>
        <v>0.42857142857142855</v>
      </c>
    </row>
  </sheetData>
  <mergeCells count="4">
    <mergeCell ref="A1:D1"/>
    <mergeCell ref="A3:D3"/>
    <mergeCell ref="A12:D12"/>
    <mergeCell ref="A14:D14"/>
  </mergeCells>
  <dataValidations count="1">
    <dataValidation type="list" sqref="B16" xr:uid="{00000000-0002-0000-0400-000000000000}">
      <formula1>$A$7:$A$10</formula1>
      <formula2>0</formula2>
    </dataValidation>
  </dataValidations>
  <pageMargins left="0.75" right="0.75" top="1" bottom="1" header="0.511811023622047" footer="0.511811023622047"/>
  <pageSetup paperSize="9" orientation="portrait" horizontalDpi="300" verticalDpi="300"/>
</worksheet>
</file>

<file path=docMetadata/LabelInfo.xml><?xml version="1.0" encoding="utf-8"?>
<clbl:labelList xmlns:clbl="http://schemas.microsoft.com/office/2020/mipLabelMetadata">
  <clbl:label id="{e7dc0288-30f0-432f-82cc-0864b31b7d4f}" enabled="0" method="" siteId="{e7dc0288-30f0-432f-82cc-0864b31b7d4f}" removed="1"/>
</clbl:labelLis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Lookup_Tables</vt:lpstr>
      <vt:lpstr>Deal_Log</vt:lpstr>
      <vt:lpstr>Deal_Input</vt:lpstr>
      <vt:lpstr>Deal_Overview</vt:lpstr>
      <vt:lpstr>NB_Pricing_Calculation</vt:lpstr>
      <vt:lpstr>Renewal_Input</vt:lpstr>
      <vt:lpstr>Renewal_Overview</vt:lpstr>
      <vt:lpstr>Renewal_Calculation</vt:lpstr>
      <vt:lpstr>Competitive_Benchmark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Sundhar Kilingarumana</cp:lastModifiedBy>
  <cp:revision>0</cp:revision>
  <dcterms:created xsi:type="dcterms:W3CDTF">2026-08-01T18:56:43Z</dcterms:created>
  <dcterms:modified xsi:type="dcterms:W3CDTF">2026-08-14T07:32:22Z</dcterms:modified>
  <dc:language>en-US</dc:language>
</cp:coreProperties>
</file>